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09e4b5f06f3938b/"/>
    </mc:Choice>
  </mc:AlternateContent>
  <xr:revisionPtr revIDLastSave="0" documentId="8_{4D1CFCB6-6B70-4C8A-AC36-9DBB4B6C5C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CF" sheetId="16" r:id="rId1"/>
    <sheet name="WACC" sheetId="15" r:id="rId2"/>
    <sheet name="Working Capital" sheetId="17" r:id="rId3"/>
    <sheet name="Capex" sheetId="18" r:id="rId4"/>
    <sheet name="Historical FS" sheetId="8" r:id="rId5"/>
    <sheet name="Data Sheet" sheetId="6" r:id="rId6"/>
    <sheet name="Profit &amp; Loss" sheetId="1" r:id="rId7"/>
    <sheet name="Balance Sheet" sheetId="2" r:id="rId8"/>
    <sheet name="Cash Flow Data" sheetId="19" r:id="rId9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0" i="17" l="1"/>
  <c r="B15" i="18"/>
  <c r="B50" i="16"/>
  <c r="H40" i="8"/>
  <c r="G40" i="8"/>
  <c r="F40" i="8"/>
  <c r="E40" i="8"/>
  <c r="H6" i="8"/>
  <c r="G6" i="8"/>
  <c r="F6" i="8"/>
  <c r="E6" i="8"/>
  <c r="D40" i="8"/>
  <c r="D6" i="8"/>
  <c r="G101" i="8"/>
  <c r="F101" i="8"/>
  <c r="E101" i="8"/>
  <c r="D101" i="8"/>
  <c r="C101" i="8"/>
  <c r="G100" i="8"/>
  <c r="F100" i="8"/>
  <c r="E100" i="8"/>
  <c r="D100" i="8"/>
  <c r="C100" i="8"/>
  <c r="G99" i="8"/>
  <c r="F99" i="8"/>
  <c r="E99" i="8"/>
  <c r="D99" i="8"/>
  <c r="C99" i="8"/>
  <c r="G98" i="8"/>
  <c r="F98" i="8"/>
  <c r="E98" i="8"/>
  <c r="D98" i="8"/>
  <c r="C98" i="8"/>
  <c r="G97" i="8"/>
  <c r="F97" i="8"/>
  <c r="E97" i="8"/>
  <c r="D97" i="8"/>
  <c r="C97" i="8"/>
  <c r="G96" i="8"/>
  <c r="F96" i="8"/>
  <c r="E96" i="8"/>
  <c r="D96" i="8"/>
  <c r="C96" i="8"/>
  <c r="G95" i="8"/>
  <c r="F95" i="8"/>
  <c r="E95" i="8"/>
  <c r="D95" i="8"/>
  <c r="C95" i="8"/>
  <c r="G91" i="8"/>
  <c r="F91" i="8"/>
  <c r="E91" i="8"/>
  <c r="D91" i="8"/>
  <c r="C91" i="8"/>
  <c r="G90" i="8"/>
  <c r="F90" i="8"/>
  <c r="E90" i="8"/>
  <c r="D90" i="8"/>
  <c r="C90" i="8"/>
  <c r="G88" i="8"/>
  <c r="F88" i="8"/>
  <c r="E88" i="8"/>
  <c r="D88" i="8"/>
  <c r="C88" i="8"/>
  <c r="G87" i="8"/>
  <c r="F87" i="8"/>
  <c r="E87" i="8"/>
  <c r="D87" i="8"/>
  <c r="C87" i="8"/>
  <c r="G86" i="8"/>
  <c r="F86" i="8"/>
  <c r="E86" i="8"/>
  <c r="D86" i="8"/>
  <c r="C86" i="8"/>
  <c r="G85" i="8"/>
  <c r="F85" i="8"/>
  <c r="E85" i="8"/>
  <c r="D85" i="8"/>
  <c r="C85" i="8"/>
  <c r="G84" i="8"/>
  <c r="F84" i="8"/>
  <c r="E84" i="8"/>
  <c r="D84" i="8"/>
  <c r="C84" i="8"/>
  <c r="G83" i="8"/>
  <c r="F83" i="8"/>
  <c r="E83" i="8"/>
  <c r="D83" i="8"/>
  <c r="C83" i="8"/>
  <c r="G82" i="8"/>
  <c r="F82" i="8"/>
  <c r="E82" i="8"/>
  <c r="D82" i="8"/>
  <c r="C82" i="8"/>
  <c r="G79" i="8"/>
  <c r="G103" i="8" s="1"/>
  <c r="F79" i="8"/>
  <c r="F103" i="8" s="1"/>
  <c r="E79" i="8"/>
  <c r="E103" i="8" s="1"/>
  <c r="D79" i="8"/>
  <c r="D103" i="8" s="1"/>
  <c r="C79" i="8"/>
  <c r="C103" i="8" s="1"/>
  <c r="G78" i="8"/>
  <c r="F78" i="8"/>
  <c r="E78" i="8"/>
  <c r="D78" i="8"/>
  <c r="C78" i="8"/>
  <c r="G77" i="8"/>
  <c r="F77" i="8"/>
  <c r="E77" i="8"/>
  <c r="D77" i="8"/>
  <c r="C77" i="8"/>
  <c r="G76" i="8"/>
  <c r="F76" i="8"/>
  <c r="E76" i="8"/>
  <c r="D76" i="8"/>
  <c r="C76" i="8"/>
  <c r="G75" i="8"/>
  <c r="F75" i="8"/>
  <c r="E75" i="8"/>
  <c r="D75" i="8"/>
  <c r="C75" i="8"/>
  <c r="G74" i="8"/>
  <c r="F74" i="8"/>
  <c r="E74" i="8"/>
  <c r="D74" i="8"/>
  <c r="C74" i="8"/>
  <c r="G73" i="8"/>
  <c r="F73" i="8"/>
  <c r="E73" i="8"/>
  <c r="D73" i="8"/>
  <c r="C73" i="8"/>
  <c r="G72" i="8"/>
  <c r="F72" i="8"/>
  <c r="E72" i="8"/>
  <c r="D72" i="8"/>
  <c r="C72" i="8"/>
  <c r="G71" i="8"/>
  <c r="F71" i="8"/>
  <c r="E71" i="8"/>
  <c r="D71" i="8"/>
  <c r="C71" i="8"/>
  <c r="G62" i="8"/>
  <c r="F62" i="8"/>
  <c r="E62" i="8"/>
  <c r="D62" i="8"/>
  <c r="C62" i="8"/>
  <c r="G61" i="8"/>
  <c r="F61" i="8"/>
  <c r="E61" i="8"/>
  <c r="D61" i="8"/>
  <c r="C61" i="8"/>
  <c r="G60" i="8"/>
  <c r="G63" i="8" s="1"/>
  <c r="F60" i="8"/>
  <c r="F63" i="8" s="1"/>
  <c r="E60" i="8"/>
  <c r="E63" i="8" s="1"/>
  <c r="D60" i="8"/>
  <c r="D63" i="8" s="1"/>
  <c r="C60" i="8"/>
  <c r="C63" i="8" s="1"/>
  <c r="G57" i="8"/>
  <c r="F57" i="8"/>
  <c r="E57" i="8"/>
  <c r="D57" i="8"/>
  <c r="C57" i="8"/>
  <c r="G56" i="8"/>
  <c r="F56" i="8"/>
  <c r="E56" i="8"/>
  <c r="D56" i="8"/>
  <c r="C56" i="8"/>
  <c r="G55" i="8"/>
  <c r="F55" i="8"/>
  <c r="E55" i="8"/>
  <c r="D55" i="8"/>
  <c r="C55" i="8"/>
  <c r="G54" i="8"/>
  <c r="G58" i="8" s="1"/>
  <c r="G65" i="8" s="1"/>
  <c r="G67" i="8" s="1"/>
  <c r="F54" i="8"/>
  <c r="F58" i="8" s="1"/>
  <c r="F65" i="8" s="1"/>
  <c r="F67" i="8" s="1"/>
  <c r="E54" i="8"/>
  <c r="E58" i="8" s="1"/>
  <c r="E65" i="8" s="1"/>
  <c r="E67" i="8" s="1"/>
  <c r="D54" i="8"/>
  <c r="D58" i="8" s="1"/>
  <c r="D65" i="8" s="1"/>
  <c r="D67" i="8" s="1"/>
  <c r="C54" i="8"/>
  <c r="C58" i="8" s="1"/>
  <c r="C65" i="8" s="1"/>
  <c r="C67" i="8" s="1"/>
  <c r="G52" i="8"/>
  <c r="F52" i="8"/>
  <c r="E52" i="8"/>
  <c r="D52" i="8"/>
  <c r="C52" i="8"/>
  <c r="G51" i="8"/>
  <c r="F51" i="8"/>
  <c r="E51" i="8"/>
  <c r="D51" i="8"/>
  <c r="C51" i="8"/>
  <c r="G50" i="8"/>
  <c r="F50" i="8"/>
  <c r="E50" i="8"/>
  <c r="D50" i="8"/>
  <c r="C50" i="8"/>
  <c r="G49" i="8"/>
  <c r="F49" i="8"/>
  <c r="E49" i="8"/>
  <c r="D49" i="8"/>
  <c r="C49" i="8"/>
  <c r="G48" i="8"/>
  <c r="F48" i="8"/>
  <c r="E48" i="8"/>
  <c r="D48" i="8"/>
  <c r="C48" i="8"/>
  <c r="G37" i="8"/>
  <c r="G42" i="8" s="1"/>
  <c r="F37" i="8"/>
  <c r="F42" i="8" s="1"/>
  <c r="E37" i="8"/>
  <c r="E42" i="8" s="1"/>
  <c r="D37" i="8"/>
  <c r="D42" i="8" s="1"/>
  <c r="C37" i="8"/>
  <c r="C42" i="8" s="1"/>
  <c r="G31" i="8"/>
  <c r="F31" i="8"/>
  <c r="E31" i="8"/>
  <c r="D31" i="8"/>
  <c r="C31" i="8"/>
  <c r="G25" i="8"/>
  <c r="G26" i="8" s="1"/>
  <c r="F25" i="8"/>
  <c r="F26" i="8" s="1"/>
  <c r="E25" i="8"/>
  <c r="E26" i="8" s="1"/>
  <c r="D25" i="8"/>
  <c r="D26" i="8" s="1"/>
  <c r="C25" i="8"/>
  <c r="C26" i="8" s="1"/>
  <c r="G19" i="8"/>
  <c r="G20" i="8" s="1"/>
  <c r="F19" i="8"/>
  <c r="F20" i="8" s="1"/>
  <c r="E19" i="8"/>
  <c r="E20" i="8" s="1"/>
  <c r="D19" i="8"/>
  <c r="D20" i="8" s="1"/>
  <c r="C19" i="8"/>
  <c r="C20" i="8" s="1"/>
  <c r="G13" i="8"/>
  <c r="G14" i="8" s="1"/>
  <c r="F13" i="8"/>
  <c r="F14" i="8" s="1"/>
  <c r="E13" i="8"/>
  <c r="E14" i="8" s="1"/>
  <c r="D13" i="8"/>
  <c r="D14" i="8" s="1"/>
  <c r="C13" i="8"/>
  <c r="C14" i="8" s="1"/>
  <c r="G8" i="8"/>
  <c r="G9" i="8" s="1"/>
  <c r="F8" i="8"/>
  <c r="F9" i="8" s="1"/>
  <c r="E8" i="8"/>
  <c r="E9" i="8" s="1"/>
  <c r="D8" i="8"/>
  <c r="D9" i="8" s="1"/>
  <c r="C8" i="8"/>
  <c r="C9" i="8" s="1"/>
  <c r="G5" i="8"/>
  <c r="G11" i="8" s="1"/>
  <c r="G16" i="8" s="1"/>
  <c r="F5" i="8"/>
  <c r="F11" i="8" s="1"/>
  <c r="F16" i="8" s="1"/>
  <c r="E5" i="8"/>
  <c r="E11" i="8" s="1"/>
  <c r="E16" i="8" s="1"/>
  <c r="D5" i="8"/>
  <c r="D11" i="8" s="1"/>
  <c r="D16" i="8" s="1"/>
  <c r="C5" i="8"/>
  <c r="C11" i="8" s="1"/>
  <c r="C16" i="8" s="1"/>
  <c r="G3" i="8"/>
  <c r="F3" i="8"/>
  <c r="E3" i="8"/>
  <c r="D3" i="8"/>
  <c r="C3" i="8"/>
  <c r="K101" i="8"/>
  <c r="K100" i="8"/>
  <c r="K99" i="8"/>
  <c r="K98" i="8"/>
  <c r="K97" i="8"/>
  <c r="K96" i="8"/>
  <c r="K95" i="8"/>
  <c r="K91" i="8"/>
  <c r="K90" i="8"/>
  <c r="K88" i="8"/>
  <c r="K87" i="8"/>
  <c r="K86" i="8"/>
  <c r="K85" i="8"/>
  <c r="K84" i="8"/>
  <c r="K83" i="8"/>
  <c r="K82" i="8"/>
  <c r="K79" i="8"/>
  <c r="K103" i="8" s="1"/>
  <c r="K78" i="8"/>
  <c r="K77" i="8"/>
  <c r="K76" i="8"/>
  <c r="K75" i="8"/>
  <c r="K74" i="8"/>
  <c r="K73" i="8"/>
  <c r="K72" i="8"/>
  <c r="K71" i="8"/>
  <c r="J101" i="8"/>
  <c r="J100" i="8"/>
  <c r="J99" i="8"/>
  <c r="J98" i="8"/>
  <c r="J97" i="8"/>
  <c r="J96" i="8"/>
  <c r="J95" i="8"/>
  <c r="J91" i="8"/>
  <c r="J90" i="8"/>
  <c r="J88" i="8"/>
  <c r="J87" i="8"/>
  <c r="J86" i="8"/>
  <c r="J85" i="8"/>
  <c r="J84" i="8"/>
  <c r="J83" i="8"/>
  <c r="J82" i="8"/>
  <c r="J79" i="8"/>
  <c r="J103" i="8" s="1"/>
  <c r="J78" i="8"/>
  <c r="J77" i="8"/>
  <c r="J76" i="8"/>
  <c r="J75" i="8"/>
  <c r="J74" i="8"/>
  <c r="J73" i="8"/>
  <c r="J72" i="8"/>
  <c r="J71" i="8"/>
  <c r="I103" i="8"/>
  <c r="I101" i="8"/>
  <c r="I100" i="8"/>
  <c r="I99" i="8"/>
  <c r="I98" i="8"/>
  <c r="I97" i="8"/>
  <c r="I96" i="8"/>
  <c r="I95" i="8"/>
  <c r="I91" i="8"/>
  <c r="I90" i="8"/>
  <c r="I88" i="8"/>
  <c r="I87" i="8"/>
  <c r="I86" i="8"/>
  <c r="I85" i="8"/>
  <c r="I84" i="8"/>
  <c r="I83" i="8"/>
  <c r="I82" i="8"/>
  <c r="I79" i="8"/>
  <c r="I78" i="8"/>
  <c r="I77" i="8"/>
  <c r="I76" i="8"/>
  <c r="I75" i="8"/>
  <c r="I74" i="8"/>
  <c r="I73" i="8"/>
  <c r="I72" i="8"/>
  <c r="I71" i="8"/>
  <c r="H101" i="8"/>
  <c r="H100" i="8"/>
  <c r="H99" i="8"/>
  <c r="H98" i="8"/>
  <c r="H97" i="8"/>
  <c r="H96" i="8"/>
  <c r="H95" i="8"/>
  <c r="H91" i="8"/>
  <c r="H90" i="8"/>
  <c r="H88" i="8"/>
  <c r="H87" i="8"/>
  <c r="H86" i="8"/>
  <c r="H85" i="8"/>
  <c r="H84" i="8"/>
  <c r="H83" i="8"/>
  <c r="H82" i="8"/>
  <c r="H79" i="8"/>
  <c r="H103" i="8" s="1"/>
  <c r="H78" i="8"/>
  <c r="H77" i="8"/>
  <c r="H76" i="8"/>
  <c r="H75" i="8"/>
  <c r="H74" i="8"/>
  <c r="H73" i="8"/>
  <c r="H72" i="8"/>
  <c r="H71" i="8"/>
  <c r="B75" i="16"/>
  <c r="B4" i="16"/>
  <c r="B51" i="16"/>
  <c r="B46" i="16"/>
  <c r="C46" i="16"/>
  <c r="D46" i="16"/>
  <c r="E46" i="16"/>
  <c r="F46" i="16"/>
  <c r="B47" i="16"/>
  <c r="C47" i="16"/>
  <c r="D47" i="16"/>
  <c r="E47" i="16"/>
  <c r="F47" i="16"/>
  <c r="B48" i="16"/>
  <c r="C48" i="16"/>
  <c r="D48" i="16"/>
  <c r="E48" i="16"/>
  <c r="F48" i="16"/>
  <c r="B49" i="16"/>
  <c r="C49" i="16"/>
  <c r="D49" i="16"/>
  <c r="E49" i="16"/>
  <c r="F49" i="16"/>
  <c r="C50" i="16"/>
  <c r="D50" i="16"/>
  <c r="E50" i="16"/>
  <c r="F50" i="16"/>
  <c r="C51" i="16"/>
  <c r="D51" i="16"/>
  <c r="E51" i="16"/>
  <c r="F51" i="16"/>
  <c r="B7" i="16"/>
  <c r="B18" i="15" s="1"/>
  <c r="B14" i="15"/>
  <c r="B7" i="15"/>
  <c r="C28" i="15" s="1"/>
  <c r="H57" i="8"/>
  <c r="H13" i="8"/>
  <c r="I13" i="8"/>
  <c r="J13" i="8"/>
  <c r="K13" i="8"/>
  <c r="I57" i="8"/>
  <c r="J57" i="8"/>
  <c r="K57" i="8"/>
  <c r="H60" i="8"/>
  <c r="I60" i="8"/>
  <c r="J60" i="8"/>
  <c r="K60" i="8"/>
  <c r="H61" i="8"/>
  <c r="I61" i="8"/>
  <c r="J61" i="8"/>
  <c r="K61" i="8"/>
  <c r="H62" i="8"/>
  <c r="I62" i="8"/>
  <c r="J62" i="8"/>
  <c r="K62" i="8"/>
  <c r="B11" i="16" s="1"/>
  <c r="H54" i="8"/>
  <c r="I54" i="8"/>
  <c r="J54" i="8"/>
  <c r="K54" i="8"/>
  <c r="H55" i="8"/>
  <c r="I55" i="8"/>
  <c r="J55" i="8"/>
  <c r="K55" i="8"/>
  <c r="H56" i="8"/>
  <c r="I56" i="8"/>
  <c r="J56" i="8"/>
  <c r="K56" i="8"/>
  <c r="H48" i="8"/>
  <c r="I48" i="8"/>
  <c r="J48" i="8"/>
  <c r="K48" i="8"/>
  <c r="H49" i="8"/>
  <c r="I49" i="8"/>
  <c r="J49" i="8"/>
  <c r="K49" i="8"/>
  <c r="H50" i="8"/>
  <c r="I50" i="8"/>
  <c r="J50" i="8"/>
  <c r="B11" i="15" s="1"/>
  <c r="K50" i="8"/>
  <c r="B10" i="16" s="1"/>
  <c r="B21" i="15" s="1"/>
  <c r="H51" i="8"/>
  <c r="I51" i="8"/>
  <c r="J51" i="8"/>
  <c r="K51" i="8"/>
  <c r="H52" i="8"/>
  <c r="I52" i="8"/>
  <c r="J52" i="8"/>
  <c r="K52" i="8"/>
  <c r="H37" i="8"/>
  <c r="I37" i="8"/>
  <c r="J37" i="8"/>
  <c r="K37" i="8"/>
  <c r="H31" i="8"/>
  <c r="I31" i="8"/>
  <c r="J31" i="8"/>
  <c r="K31" i="8"/>
  <c r="H19" i="8"/>
  <c r="I19" i="8"/>
  <c r="J19" i="8"/>
  <c r="K19" i="8"/>
  <c r="H25" i="8"/>
  <c r="I25" i="8"/>
  <c r="J25" i="8"/>
  <c r="K25" i="8"/>
  <c r="B10" i="15" s="1"/>
  <c r="H8" i="8"/>
  <c r="I8" i="8"/>
  <c r="J8" i="8"/>
  <c r="K8" i="8"/>
  <c r="H5" i="8"/>
  <c r="I5" i="8"/>
  <c r="J5" i="8"/>
  <c r="K5" i="8"/>
  <c r="B13" i="16" s="1"/>
  <c r="B55" i="16" s="1"/>
  <c r="C55" i="16" s="1"/>
  <c r="H3" i="8"/>
  <c r="I3" i="8"/>
  <c r="J3" i="8"/>
  <c r="K3" i="8"/>
  <c r="B2" i="8"/>
  <c r="C5" i="1"/>
  <c r="D5" i="1"/>
  <c r="E5" i="1"/>
  <c r="F5" i="1"/>
  <c r="G5" i="1"/>
  <c r="H5" i="1"/>
  <c r="I5" i="1"/>
  <c r="J5" i="1"/>
  <c r="K5" i="1"/>
  <c r="B5" i="1"/>
  <c r="B6" i="6"/>
  <c r="B8" i="16" s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B8" i="18" s="1"/>
  <c r="D8" i="1"/>
  <c r="C8" i="18" s="1"/>
  <c r="E8" i="1"/>
  <c r="D8" i="18" s="1"/>
  <c r="F8" i="1"/>
  <c r="E8" i="18" s="1"/>
  <c r="G8" i="1"/>
  <c r="F8" i="18" s="1"/>
  <c r="H8" i="1"/>
  <c r="I8" i="1"/>
  <c r="J8" i="1"/>
  <c r="G8" i="18" s="1"/>
  <c r="K8" i="1"/>
  <c r="H8" i="18" s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G12" i="1"/>
  <c r="G13" i="1" s="1"/>
  <c r="H12" i="1"/>
  <c r="I12" i="1"/>
  <c r="J12" i="1"/>
  <c r="J13" i="1" s="1"/>
  <c r="K12" i="1"/>
  <c r="K13" i="1" s="1"/>
  <c r="C15" i="1"/>
  <c r="D15" i="1"/>
  <c r="E15" i="1"/>
  <c r="F15" i="1"/>
  <c r="G15" i="1"/>
  <c r="H15" i="1"/>
  <c r="I15" i="1"/>
  <c r="J15" i="1"/>
  <c r="J14" i="1" s="1"/>
  <c r="K15" i="1"/>
  <c r="B15" i="1"/>
  <c r="H13" i="1"/>
  <c r="I13" i="1"/>
  <c r="B7" i="1"/>
  <c r="B4" i="1"/>
  <c r="A1" i="1"/>
  <c r="E1" i="6"/>
  <c r="C3" i="2"/>
  <c r="D3" i="2"/>
  <c r="E3" i="2"/>
  <c r="F3" i="2"/>
  <c r="G3" i="2"/>
  <c r="H3" i="2"/>
  <c r="I3" i="2"/>
  <c r="J3" i="2"/>
  <c r="K3" i="2"/>
  <c r="C3" i="1"/>
  <c r="D3" i="1"/>
  <c r="E3" i="1"/>
  <c r="F3" i="1"/>
  <c r="G3" i="1"/>
  <c r="H3" i="1"/>
  <c r="I3" i="1"/>
  <c r="J3" i="1"/>
  <c r="K3" i="1"/>
  <c r="B18" i="2"/>
  <c r="B13" i="2"/>
  <c r="B12" i="2"/>
  <c r="B11" i="2"/>
  <c r="B10" i="2"/>
  <c r="B8" i="2"/>
  <c r="B7" i="2"/>
  <c r="B6" i="2"/>
  <c r="B3" i="2"/>
  <c r="B12" i="1"/>
  <c r="B11" i="1"/>
  <c r="B10" i="1"/>
  <c r="B9" i="1"/>
  <c r="B8" i="1"/>
  <c r="B3" i="1"/>
  <c r="G28" i="8" l="1"/>
  <c r="G17" i="8"/>
  <c r="G22" i="8"/>
  <c r="G23" i="8" s="1"/>
  <c r="F28" i="8"/>
  <c r="F17" i="8"/>
  <c r="F22" i="8"/>
  <c r="F23" i="8" s="1"/>
  <c r="E28" i="8"/>
  <c r="E17" i="8"/>
  <c r="E22" i="8"/>
  <c r="E23" i="8" s="1"/>
  <c r="D22" i="8"/>
  <c r="D23" i="8" s="1"/>
  <c r="D28" i="8"/>
  <c r="D17" i="8"/>
  <c r="C22" i="8"/>
  <c r="C23" i="8" s="1"/>
  <c r="C28" i="8"/>
  <c r="C17" i="8"/>
  <c r="B12" i="15"/>
  <c r="C16" i="2"/>
  <c r="B6" i="17" s="1"/>
  <c r="D16" i="2"/>
  <c r="F16" i="2"/>
  <c r="E6" i="17" s="1"/>
  <c r="H16" i="2"/>
  <c r="K16" i="2"/>
  <c r="G6" i="17" s="1"/>
  <c r="C6" i="1"/>
  <c r="C19" i="1" s="1"/>
  <c r="D23" i="2"/>
  <c r="G23" i="2"/>
  <c r="K23" i="2"/>
  <c r="D6" i="1"/>
  <c r="D19" i="1" s="1"/>
  <c r="E6" i="1"/>
  <c r="E19" i="1" s="1"/>
  <c r="G6" i="1"/>
  <c r="G19" i="1" s="1"/>
  <c r="I6" i="1"/>
  <c r="I19" i="1" s="1"/>
  <c r="J6" i="1"/>
  <c r="J19" i="1" s="1"/>
  <c r="K6" i="1"/>
  <c r="K19" i="1" s="1"/>
  <c r="B6" i="1"/>
  <c r="B19" i="1" s="1"/>
  <c r="F21" i="2"/>
  <c r="G21" i="2"/>
  <c r="H21" i="2"/>
  <c r="I21" i="2"/>
  <c r="J21" i="2"/>
  <c r="K21" i="2"/>
  <c r="C23" i="2"/>
  <c r="F23" i="2"/>
  <c r="H23" i="2"/>
  <c r="E23" i="2"/>
  <c r="I23" i="2"/>
  <c r="C63" i="16"/>
  <c r="E16" i="2"/>
  <c r="J16" i="2"/>
  <c r="A1" i="2"/>
  <c r="H1" i="1"/>
  <c r="E1" i="2"/>
  <c r="C21" i="2"/>
  <c r="D21" i="2"/>
  <c r="E21" i="2"/>
  <c r="B22" i="15"/>
  <c r="B23" i="15" s="1"/>
  <c r="B12" i="16"/>
  <c r="B85" i="16" s="1"/>
  <c r="B4" i="18"/>
  <c r="B5" i="18"/>
  <c r="C4" i="18"/>
  <c r="C5" i="18"/>
  <c r="D4" i="18"/>
  <c r="D5" i="18"/>
  <c r="E5" i="18"/>
  <c r="E4" i="18"/>
  <c r="F5" i="18"/>
  <c r="F4" i="18"/>
  <c r="G5" i="18"/>
  <c r="G4" i="18"/>
  <c r="H4" i="18"/>
  <c r="H5" i="18"/>
  <c r="B6" i="18"/>
  <c r="B7" i="18"/>
  <c r="C6" i="18"/>
  <c r="C7" i="18"/>
  <c r="D7" i="18"/>
  <c r="D6" i="18"/>
  <c r="E6" i="18"/>
  <c r="E7" i="18"/>
  <c r="F7" i="18"/>
  <c r="F6" i="18"/>
  <c r="G7" i="18"/>
  <c r="G6" i="18"/>
  <c r="H6" i="18"/>
  <c r="H7" i="18"/>
  <c r="C20" i="2"/>
  <c r="B5" i="17"/>
  <c r="B10" i="18"/>
  <c r="B4" i="17"/>
  <c r="D20" i="2"/>
  <c r="C4" i="17"/>
  <c r="C10" i="18"/>
  <c r="C5" i="17"/>
  <c r="E20" i="2"/>
  <c r="D5" i="17"/>
  <c r="D10" i="18"/>
  <c r="D4" i="17"/>
  <c r="E10" i="18"/>
  <c r="E5" i="17"/>
  <c r="E4" i="17"/>
  <c r="G20" i="2"/>
  <c r="F5" i="17"/>
  <c r="F10" i="18"/>
  <c r="F4" i="17"/>
  <c r="J20" i="2"/>
  <c r="G10" i="18"/>
  <c r="K20" i="2"/>
  <c r="H10" i="18"/>
  <c r="G5" i="17"/>
  <c r="G4" i="17"/>
  <c r="B87" i="16"/>
  <c r="B19" i="15"/>
  <c r="B20" i="15" s="1"/>
  <c r="B24" i="15" s="1"/>
  <c r="B89" i="16"/>
  <c r="B9" i="16"/>
  <c r="B15" i="15"/>
  <c r="C29" i="15" s="1"/>
  <c r="D55" i="16"/>
  <c r="C61" i="16"/>
  <c r="C57" i="16"/>
  <c r="C62" i="16"/>
  <c r="C56" i="16"/>
  <c r="G14" i="1"/>
  <c r="K14" i="1"/>
  <c r="J23" i="2"/>
  <c r="F20" i="2"/>
  <c r="F14" i="1"/>
  <c r="C14" i="1"/>
  <c r="B20" i="2"/>
  <c r="B21" i="2"/>
  <c r="H9" i="8"/>
  <c r="H42" i="8"/>
  <c r="I42" i="8"/>
  <c r="I40" i="8" s="1"/>
  <c r="J42" i="8"/>
  <c r="K42" i="8"/>
  <c r="H63" i="8"/>
  <c r="J63" i="8"/>
  <c r="K63" i="8"/>
  <c r="H58" i="8"/>
  <c r="H65" i="8" s="1"/>
  <c r="J58" i="8"/>
  <c r="K58" i="8"/>
  <c r="I63" i="8"/>
  <c r="I58" i="8"/>
  <c r="J9" i="8"/>
  <c r="H20" i="8"/>
  <c r="I20" i="8"/>
  <c r="J20" i="8"/>
  <c r="K20" i="8"/>
  <c r="H26" i="8"/>
  <c r="I26" i="8"/>
  <c r="J26" i="8"/>
  <c r="I14" i="8"/>
  <c r="K14" i="8"/>
  <c r="K26" i="8"/>
  <c r="H14" i="8"/>
  <c r="J14" i="8"/>
  <c r="I9" i="8"/>
  <c r="K9" i="8"/>
  <c r="H11" i="8"/>
  <c r="I6" i="8"/>
  <c r="I11" i="8"/>
  <c r="J6" i="8"/>
  <c r="J11" i="8"/>
  <c r="K6" i="8"/>
  <c r="K11" i="8"/>
  <c r="D13" i="1"/>
  <c r="D24" i="2"/>
  <c r="E24" i="2"/>
  <c r="F24" i="2"/>
  <c r="G24" i="2"/>
  <c r="H24" i="2"/>
  <c r="I24" i="2"/>
  <c r="J24" i="2"/>
  <c r="K24" i="2"/>
  <c r="G16" i="2"/>
  <c r="I16" i="2"/>
  <c r="C24" i="2"/>
  <c r="H14" i="1"/>
  <c r="I14" i="1"/>
  <c r="B16" i="2"/>
  <c r="B13" i="1"/>
  <c r="B14" i="1" s="1"/>
  <c r="B23" i="2"/>
  <c r="I20" i="2"/>
  <c r="H20" i="2"/>
  <c r="H6" i="1"/>
  <c r="H19" i="1" s="1"/>
  <c r="F6" i="1"/>
  <c r="F19" i="1" s="1"/>
  <c r="G32" i="8" l="1"/>
  <c r="G34" i="8"/>
  <c r="G29" i="8"/>
  <c r="F32" i="8"/>
  <c r="F29" i="8"/>
  <c r="F34" i="8"/>
  <c r="E32" i="8"/>
  <c r="E34" i="8"/>
  <c r="E29" i="8"/>
  <c r="D32" i="8"/>
  <c r="D34" i="8"/>
  <c r="D29" i="8"/>
  <c r="C32" i="8"/>
  <c r="C34" i="8"/>
  <c r="C29" i="8"/>
  <c r="J40" i="8"/>
  <c r="E7" i="17"/>
  <c r="G7" i="17"/>
  <c r="B7" i="17"/>
  <c r="C7" i="17"/>
  <c r="C8" i="17" s="1"/>
  <c r="C6" i="17"/>
  <c r="G8" i="17"/>
  <c r="B8" i="17"/>
  <c r="E8" i="17"/>
  <c r="C9" i="18"/>
  <c r="C11" i="18" s="1"/>
  <c r="D6" i="17"/>
  <c r="D7" i="17"/>
  <c r="D8" i="17" s="1"/>
  <c r="K40" i="8"/>
  <c r="D9" i="18"/>
  <c r="D11" i="18" s="1"/>
  <c r="G9" i="18"/>
  <c r="G11" i="18" s="1"/>
  <c r="H9" i="18"/>
  <c r="H11" i="18" s="1"/>
  <c r="B9" i="18"/>
  <c r="B11" i="18" s="1"/>
  <c r="E9" i="18"/>
  <c r="E11" i="18" s="1"/>
  <c r="F9" i="18"/>
  <c r="F11" i="18" s="1"/>
  <c r="B56" i="16"/>
  <c r="F7" i="17"/>
  <c r="F8" i="17" s="1"/>
  <c r="F6" i="17"/>
  <c r="D62" i="16"/>
  <c r="D57" i="16"/>
  <c r="D61" i="16"/>
  <c r="E55" i="16"/>
  <c r="D56" i="16"/>
  <c r="D63" i="16"/>
  <c r="C59" i="16"/>
  <c r="C60" i="16" s="1"/>
  <c r="C64" i="16" s="1"/>
  <c r="C58" i="16"/>
  <c r="B29" i="15"/>
  <c r="D29" i="15" s="1"/>
  <c r="B28" i="15"/>
  <c r="D28" i="15" s="1"/>
  <c r="J65" i="8"/>
  <c r="I65" i="8"/>
  <c r="H16" i="8"/>
  <c r="H22" i="8" s="1"/>
  <c r="H23" i="8" s="1"/>
  <c r="I16" i="8"/>
  <c r="I22" i="8" s="1"/>
  <c r="I23" i="8" s="1"/>
  <c r="J16" i="8"/>
  <c r="K16" i="8"/>
  <c r="K65" i="8"/>
  <c r="D14" i="1"/>
  <c r="E13" i="1"/>
  <c r="E14" i="1" s="1"/>
  <c r="G39" i="8" l="1"/>
  <c r="G35" i="8"/>
  <c r="F39" i="8"/>
  <c r="F35" i="8"/>
  <c r="E39" i="8"/>
  <c r="E35" i="8"/>
  <c r="D35" i="8"/>
  <c r="D39" i="8"/>
  <c r="C39" i="8"/>
  <c r="C35" i="8"/>
  <c r="B13" i="18"/>
  <c r="B14" i="18"/>
  <c r="B30" i="15"/>
  <c r="D59" i="16"/>
  <c r="D60" i="16" s="1"/>
  <c r="D64" i="16" s="1"/>
  <c r="D58" i="16"/>
  <c r="E61" i="16"/>
  <c r="E63" i="16"/>
  <c r="E56" i="16"/>
  <c r="E57" i="16"/>
  <c r="E62" i="16"/>
  <c r="F55" i="16"/>
  <c r="C69" i="16"/>
  <c r="C65" i="16"/>
  <c r="J22" i="8"/>
  <c r="J23" i="8" s="1"/>
  <c r="J17" i="8"/>
  <c r="J28" i="8"/>
  <c r="K22" i="8"/>
  <c r="K17" i="8"/>
  <c r="K28" i="8"/>
  <c r="H28" i="8"/>
  <c r="H17" i="8"/>
  <c r="I28" i="8"/>
  <c r="I17" i="8"/>
  <c r="J67" i="8"/>
  <c r="I67" i="8"/>
  <c r="K67" i="8"/>
  <c r="H67" i="8"/>
  <c r="G43" i="8" l="1"/>
  <c r="G45" i="8"/>
  <c r="F43" i="8"/>
  <c r="F45" i="8"/>
  <c r="E43" i="8"/>
  <c r="E45" i="8"/>
  <c r="D43" i="8"/>
  <c r="D45" i="8"/>
  <c r="C43" i="8"/>
  <c r="C45" i="8"/>
  <c r="J32" i="8"/>
  <c r="J29" i="8"/>
  <c r="J34" i="8"/>
  <c r="K32" i="8"/>
  <c r="K29" i="8"/>
  <c r="K34" i="8"/>
  <c r="K23" i="8"/>
  <c r="B14" i="16"/>
  <c r="D71" i="16"/>
  <c r="G71" i="16"/>
  <c r="E71" i="16"/>
  <c r="F71" i="16"/>
  <c r="C71" i="16"/>
  <c r="C72" i="16" s="1"/>
  <c r="D65" i="16"/>
  <c r="D69" i="16"/>
  <c r="E59" i="16"/>
  <c r="E60" i="16" s="1"/>
  <c r="E64" i="16" s="1"/>
  <c r="E58" i="16"/>
  <c r="F61" i="16"/>
  <c r="F56" i="16"/>
  <c r="F62" i="16"/>
  <c r="F57" i="16"/>
  <c r="F63" i="16"/>
  <c r="G55" i="16"/>
  <c r="H32" i="8"/>
  <c r="H29" i="8"/>
  <c r="H34" i="8"/>
  <c r="I32" i="8"/>
  <c r="I29" i="8"/>
  <c r="I34" i="8"/>
  <c r="H35" i="8" l="1"/>
  <c r="H39" i="8"/>
  <c r="H43" i="8" s="1"/>
  <c r="J35" i="8"/>
  <c r="J39" i="8"/>
  <c r="J43" i="8" s="1"/>
  <c r="J45" i="8" s="1"/>
  <c r="K35" i="8"/>
  <c r="K39" i="8"/>
  <c r="K43" i="8" s="1"/>
  <c r="I35" i="8"/>
  <c r="I39" i="8"/>
  <c r="I43" i="8" s="1"/>
  <c r="D72" i="16"/>
  <c r="B15" i="16"/>
  <c r="B57" i="16"/>
  <c r="B58" i="16" s="1"/>
  <c r="E69" i="16"/>
  <c r="E72" i="16" s="1"/>
  <c r="E65" i="16"/>
  <c r="F59" i="16"/>
  <c r="F60" i="16" s="1"/>
  <c r="F64" i="16" s="1"/>
  <c r="F58" i="16"/>
  <c r="G56" i="16"/>
  <c r="G61" i="16"/>
  <c r="G63" i="16"/>
  <c r="G62" i="16"/>
  <c r="G57" i="16"/>
  <c r="F65" i="16" l="1"/>
  <c r="F69" i="16"/>
  <c r="F72" i="16" s="1"/>
  <c r="G58" i="16"/>
  <c r="G59" i="16"/>
  <c r="G60" i="16" s="1"/>
  <c r="G64" i="16" s="1"/>
  <c r="B77" i="16" s="1"/>
  <c r="H45" i="8"/>
  <c r="I45" i="8"/>
  <c r="K45" i="8"/>
  <c r="G65" i="16" l="1"/>
  <c r="G69" i="16"/>
  <c r="G72" i="16" s="1"/>
  <c r="B82" i="16" s="1"/>
  <c r="B78" i="16"/>
  <c r="B79" i="16" s="1"/>
  <c r="B83" i="16" s="1"/>
  <c r="B84" i="16" l="1"/>
  <c r="B91" i="16" l="1"/>
  <c r="B86" i="16"/>
  <c r="B88" i="16" s="1"/>
  <c r="B90" i="16" l="1"/>
  <c r="A9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tc={9E2E9C93-5FE0-47CC-9C3B-54E128FA8F04}</author>
  </authors>
  <commentList>
    <comment ref="B13" authorId="0" shapeId="0" xr:uid="{9E2E9C93-5FE0-47CC-9C3B-54E128FA8F0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Assumption= pre-tax cost of debt 7.5%. Implied interest cost in B13 is inflated so a market rate is used instead.</t>
      </text>
    </comment>
  </commentList>
</comments>
</file>

<file path=xl/sharedStrings.xml><?xml version="1.0" encoding="utf-8"?>
<sst xmlns="http://schemas.openxmlformats.org/spreadsheetml/2006/main" count="391" uniqueCount="241">
  <si>
    <t>COMPANY NAME</t>
  </si>
  <si>
    <t>SCREENER.IN</t>
  </si>
  <si>
    <t>Narration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</si>
  <si>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</si>
  <si>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</si>
  <si>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</si>
  <si>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</si>
  <si>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</si>
  <si>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</si>
  <si>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</si>
  <si>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</si>
  <si>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</si>
  <si>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</si>
  <si>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</si>
  <si>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</si>
  <si>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</si>
  <si>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</si>
  <si>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</si>
  <si>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</si>
  <si>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</si>
  <si>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</si>
  <si>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</si>
  <si>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</si>
  <si>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</si>
  <si>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</si>
  <si>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</si>
  <si>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</si>
  <si>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</si>
  <si>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</si>
  <si>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</si>
  <si>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</si>
  <si>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</si>
  <si>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</si>
  <si>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</si>
  <si>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</si>
  <si>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</si>
  <si>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</si>
  <si>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</si>
  <si>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</si>
  <si>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</si>
  <si>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</si>
  <si>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</si>
  <si>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</si>
  <si>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</si>
  <si>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</si>
  <si>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</si>
  <si>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</si>
  <si>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NESTLE INDIA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</si>
  <si>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</si>
  <si>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</si>
  <si>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</si>
  <si>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</si>
  <si>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</si>
  <si>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</si>
  <si>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</si>
  <si>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</si>
  <si>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</si>
  <si>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</si>
  <si>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</si>
  <si>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</si>
  <si>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</si>
  <si>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</si>
  <si>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</si>
  <si>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</si>
  <si>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</si>
  <si>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</si>
  <si>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</si>
  <si>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</si>
  <si>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</si>
  <si>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</si>
  <si>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Income Statement</t>
  </si>
  <si>
    <t>#</t>
  </si>
  <si>
    <t>COGS</t>
  </si>
  <si>
    <t>Gross Margins</t>
  </si>
  <si>
    <t>Gross Profit</t>
  </si>
  <si>
    <t>EBITDA</t>
  </si>
  <si>
    <t>Selling &amp; General Expenses</t>
  </si>
  <si>
    <t>S&amp;G Exp % Sales</t>
  </si>
  <si>
    <t>EBITDA % Sales</t>
  </si>
  <si>
    <t>Interest % Sales</t>
  </si>
  <si>
    <t>Depreciation % Sales</t>
  </si>
  <si>
    <t>EBT</t>
  </si>
  <si>
    <t>EBT % Sales</t>
  </si>
  <si>
    <t>Effective Tax Rate</t>
  </si>
  <si>
    <t>Net Profit</t>
  </si>
  <si>
    <t>Net Margins</t>
  </si>
  <si>
    <t>Dividend per Share</t>
  </si>
  <si>
    <t>EPS Growth</t>
  </si>
  <si>
    <t>Dividend Payout Ratio</t>
  </si>
  <si>
    <t>Retained Earnings</t>
  </si>
  <si>
    <t>Balance Sheet</t>
  </si>
  <si>
    <t>Total Liabilities</t>
  </si>
  <si>
    <t>Fixed Assets Net Block</t>
  </si>
  <si>
    <t>Total Assets</t>
  </si>
  <si>
    <t>Total Non Current Assets</t>
  </si>
  <si>
    <t>Total Current Assets</t>
  </si>
  <si>
    <t>Check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</si>
  <si>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</si>
  <si>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</si>
  <si>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</si>
  <si>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</si>
  <si>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</si>
  <si>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</si>
  <si>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</si>
  <si>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</si>
  <si>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</si>
  <si>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</si>
  <si>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</si>
  <si>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</si>
  <si>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</si>
  <si>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</si>
  <si>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</si>
  <si>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</si>
  <si>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</si>
  <si>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</si>
  <si>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</si>
  <si>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</si>
  <si>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</si>
  <si>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</si>
  <si>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</si>
  <si>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</si>
  <si>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</si>
  <si>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</si>
  <si>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</si>
  <si>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Flow Statement</t>
  </si>
  <si>
    <t xml:space="preserve"> Operating Activity -</t>
  </si>
  <si>
    <t xml:space="preserve"> Investing Activity -</t>
  </si>
  <si>
    <t>Financing Activity -</t>
  </si>
  <si>
    <t>-</t>
  </si>
  <si>
    <t>EBIT</t>
  </si>
  <si>
    <t>EBIT % Sales</t>
  </si>
  <si>
    <t>Risk-Free Rate (10Y India G-Sec)</t>
  </si>
  <si>
    <t>Equity Risk Premium (India)</t>
  </si>
  <si>
    <t>Interest Expense FY2026A</t>
  </si>
  <si>
    <t>Pre-Tax Cost of Debt (assumed)</t>
  </si>
  <si>
    <t>Tax Rate</t>
  </si>
  <si>
    <t>Diluted Shares Outstanding (cr)</t>
  </si>
  <si>
    <t>Component</t>
  </si>
  <si>
    <t>Weight</t>
  </si>
  <si>
    <t>Cost</t>
  </si>
  <si>
    <t>Contribution</t>
  </si>
  <si>
    <t>Equity</t>
  </si>
  <si>
    <t>Debt</t>
  </si>
  <si>
    <t>NESTLE INDIA LTD — 5-Year Discounted Cash Flow Model</t>
  </si>
  <si>
    <t>Case Selector (1 = Bear, 2 = Base, 3 = Bull)</t>
  </si>
  <si>
    <t>Selected Case</t>
  </si>
  <si>
    <t>FY2026A EBIT Margin (%)</t>
  </si>
  <si>
    <t>Assumption</t>
  </si>
  <si>
    <t>FY2027E</t>
  </si>
  <si>
    <t>FY2028E</t>
  </si>
  <si>
    <t>FY2029E</t>
  </si>
  <si>
    <t>FY2030E</t>
  </si>
  <si>
    <t>FY2031E</t>
  </si>
  <si>
    <t>Revenue Growth (%)</t>
  </si>
  <si>
    <t>EBIT Margin (%)</t>
  </si>
  <si>
    <t>Tax Rate (%)</t>
  </si>
  <si>
    <t>D&amp;A (% of Revenue)</t>
  </si>
  <si>
    <t>Capex (% of Revenue)</t>
  </si>
  <si>
    <t>Δ NWC (% of Δ Revenue)</t>
  </si>
  <si>
    <t>FY2026A</t>
  </si>
  <si>
    <t>Revenue</t>
  </si>
  <si>
    <t xml:space="preserve">   % growth</t>
  </si>
  <si>
    <t xml:space="preserve">   EBIT margin</t>
  </si>
  <si>
    <t>Less: Taxes on EBIT</t>
  </si>
  <si>
    <t>NOPAT</t>
  </si>
  <si>
    <t>(+) Depreciation &amp; Amortisation</t>
  </si>
  <si>
    <t>(-) Capital Expenditure</t>
  </si>
  <si>
    <t>(-) Increase / (Decrease) in NWC</t>
  </si>
  <si>
    <t>Unlevered Free Cash Flow</t>
  </si>
  <si>
    <t xml:space="preserve">   FCF % of Revenue</t>
  </si>
  <si>
    <t>Discount Period (years)</t>
  </si>
  <si>
    <t>Discount Factor</t>
  </si>
  <si>
    <t>PV of Free Cash Flow</t>
  </si>
  <si>
    <t>Terminal Growth Rate (g)</t>
  </si>
  <si>
    <t>Terminal Year FCF (FY2031E × (1+g))</t>
  </si>
  <si>
    <t>Terminal Value</t>
  </si>
  <si>
    <t>PV of Terminal Value</t>
  </si>
  <si>
    <t>Enterprise Value</t>
  </si>
  <si>
    <t>Less: Net Debt / (Add: Net Cash)</t>
  </si>
  <si>
    <t>Equity Value</t>
  </si>
  <si>
    <t>Implied Upside / (Downside)</t>
  </si>
  <si>
    <t>Check: Terminal Value % of Enterprise Value</t>
  </si>
  <si>
    <t xml:space="preserve">Sum of PV of FCFs </t>
  </si>
  <si>
    <t>Discounting</t>
  </si>
  <si>
    <t>FY2018</t>
  </si>
  <si>
    <t>FY2019</t>
  </si>
  <si>
    <t>FY2020</t>
  </si>
  <si>
    <t>FY2021</t>
  </si>
  <si>
    <t>FY2022</t>
  </si>
  <si>
    <t>FY2026</t>
  </si>
  <si>
    <t>Δ Sales</t>
  </si>
  <si>
    <t>Working capital</t>
  </si>
  <si>
    <t>Δ Working capital</t>
  </si>
  <si>
    <t>Δ NWC ÷ Δ Sales</t>
  </si>
  <si>
    <t>Capex</t>
  </si>
  <si>
    <t>FY2025</t>
  </si>
  <si>
    <t>Net block</t>
  </si>
  <si>
    <t>Δ Net block</t>
  </si>
  <si>
    <t>Capital work in progress</t>
  </si>
  <si>
    <t>Δ CWIP</t>
  </si>
  <si>
    <t>Capex ÷ Sales</t>
  </si>
  <si>
    <t xml:space="preserve">Implied Share Price </t>
  </si>
  <si>
    <t xml:space="preserve">WACC </t>
  </si>
  <si>
    <t xml:space="preserve">Capex </t>
  </si>
  <si>
    <t xml:space="preserve">Market Data </t>
  </si>
  <si>
    <t>Bear Case Assumptions</t>
  </si>
  <si>
    <t>Base Case Assumptions</t>
  </si>
  <si>
    <t>Bull Case Assumptions</t>
  </si>
  <si>
    <t xml:space="preserve">Selected Case </t>
  </si>
  <si>
    <t xml:space="preserve">Projected Financials &amp; Unlevered Free Cash Flow </t>
  </si>
  <si>
    <t>Fiscal Year</t>
  </si>
  <si>
    <t>Terminal Value (Perpetuity Growth)</t>
  </si>
  <si>
    <t>Sensitivity Analysis — WACC Vs. Terminal Growth Rate</t>
  </si>
  <si>
    <t>Cost Of Equity (CAPM)</t>
  </si>
  <si>
    <t>Cost Of Equity</t>
  </si>
  <si>
    <t>Cost Of Debt</t>
  </si>
  <si>
    <t>After-Tax Cost Of Debt</t>
  </si>
  <si>
    <t>Capital Structure (Market Values)</t>
  </si>
  <si>
    <t>WACC Calculation</t>
  </si>
  <si>
    <t>Weighted Average Cost Of Capital</t>
  </si>
  <si>
    <t>Average Of The Seven Years</t>
  </si>
  <si>
    <t>Weighted Average Cost of Capital</t>
  </si>
  <si>
    <t>Market Capitalisation</t>
  </si>
  <si>
    <t>Total Borrowings</t>
  </si>
  <si>
    <t>Net Debt / (Net Cash)</t>
  </si>
  <si>
    <t>FY2026A Revenue</t>
  </si>
  <si>
    <t>FY2026A EBIT</t>
  </si>
  <si>
    <t>Total Capitalisation</t>
  </si>
  <si>
    <t xml:space="preserve">Current Share Price </t>
  </si>
  <si>
    <t xml:space="preserve">Implied Value Per Share </t>
  </si>
  <si>
    <r>
      <t>Cash from Operating Activity </t>
    </r>
    <r>
      <rPr>
        <sz val="11"/>
        <color rgb="FF665EFD"/>
        <rFont val="Arial"/>
        <family val="2"/>
      </rPr>
      <t>-</t>
    </r>
  </si>
  <si>
    <t>Operating borrowings</t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</si>
  <si>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</si>
  <si>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</si>
  <si>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Investment subsidy</t>
  </si>
  <si>
    <t xml:space="preserve"> Average of the six years</t>
  </si>
  <si>
    <t xml:space="preserve">Average Excluding FY2025 </t>
  </si>
  <si>
    <t xml:space="preserve">Base Case Assumption Used </t>
  </si>
  <si>
    <t xml:space="preserve">Implied Interest Cost </t>
  </si>
  <si>
    <t xml:space="preserve">Average Borrowings </t>
  </si>
  <si>
    <t>Beta (levered vs Nifty)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</si>
</sst>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{&quot;₹&quot;\ #,##0.0\};\-"/>
    <numFmt numFmtId="167" formatCode="&quot;₹&quot;\ #,##0.00;\-&quot;₹&quot;\ #,##0.00;\-"/>
    <numFmt numFmtId="170" formatCode="0.0%"/>
    <numFmt numFmtId="171" formatCode="#,##0.00;\(#,##0.00\);\-"/>
    <numFmt numFmtId="172" formatCode="\₹#,##0.00"/>
    <numFmt numFmtId="173" formatCode="#,##0;\(#,##0\);\-"/>
    <numFmt numFmtId="174" formatCode="0.0000"/>
    <numFmt numFmtId="175" formatCode="\₹#,##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DBE4F0"/>
      </top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99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9" fontId="1" fillId="0" borderId="0" xfId="4" applyFont="1" applyBorder="1"/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65" fontId="2" fillId="3" borderId="0" xfId="1" applyNumberFormat="1" applyFont="1" applyFill="1" applyBorder="1"/>
    <xf numFmtId="165" fontId="7" fillId="0" borderId="0" xfId="1" applyNumberFormat="1" applyFont="1" applyFill="1" applyBorder="1"/>
    <xf numFmtId="164" fontId="0" fillId="0" borderId="0" xfId="1" applyNumberFormat="1" applyFont="1" applyBorder="1"/>
    <xf numFmtId="1" fontId="0" fillId="0" borderId="0" xfId="0" applyNumberFormat="1"/>
    <xf numFmtId="173" fontId="0" fillId="0" borderId="0" xfId="0" applyNumberFormat="1"/>
    <xf numFmtId="10" fontId="0" fillId="0" borderId="0" xfId="0" applyNumberFormat="1"/>
    <xf numFmtId="165" fontId="2" fillId="3" borderId="0" xfId="0" applyNumberFormat="1" applyFont="1" applyFill="1" applyAlignment="1">
      <alignment horizontal="center"/>
    </xf>
    <xf numFmtId="0" fontId="1" fillId="5" borderId="0" xfId="0" applyFont="1" applyFill="1"/>
    <xf numFmtId="0" fontId="0" fillId="5" borderId="0" xfId="0" applyFill="1"/>
    <xf numFmtId="166" fontId="0" fillId="0" borderId="0" xfId="0" applyNumberFormat="1"/>
    <xf numFmtId="0" fontId="9" fillId="0" borderId="0" xfId="0" applyFont="1"/>
    <xf numFmtId="10" fontId="9" fillId="0" borderId="0" xfId="4" applyNumberFormat="1" applyFont="1" applyBorder="1"/>
    <xf numFmtId="167" fontId="0" fillId="0" borderId="0" xfId="0" applyNumberFormat="1"/>
    <xf numFmtId="7" fontId="0" fillId="0" borderId="0" xfId="0" applyNumberFormat="1"/>
    <xf numFmtId="10" fontId="9" fillId="0" borderId="0" xfId="4" applyNumberFormat="1" applyFont="1" applyBorder="1" applyAlignment="1">
      <alignment horizontal="right"/>
    </xf>
    <xf numFmtId="9" fontId="0" fillId="0" borderId="0" xfId="4" applyFont="1" applyBorder="1"/>
    <xf numFmtId="0" fontId="8" fillId="0" borderId="0" xfId="0" applyFont="1"/>
    <xf numFmtId="167" fontId="1" fillId="0" borderId="0" xfId="0" applyNumberFormat="1" applyFont="1"/>
    <xf numFmtId="3" fontId="1" fillId="0" borderId="0" xfId="0" applyNumberFormat="1" applyFont="1"/>
    <xf numFmtId="0" fontId="2" fillId="3" borderId="0" xfId="0" applyFont="1" applyFill="1"/>
    <xf numFmtId="0" fontId="12" fillId="6" borderId="0" xfId="0" applyFont="1" applyFill="1"/>
    <xf numFmtId="170" fontId="0" fillId="0" borderId="0" xfId="0" applyNumberFormat="1"/>
    <xf numFmtId="170" fontId="1" fillId="8" borderId="0" xfId="0" applyNumberFormat="1" applyFont="1" applyFill="1"/>
    <xf numFmtId="0" fontId="1" fillId="8" borderId="0" xfId="0" applyFont="1" applyFill="1"/>
    <xf numFmtId="49" fontId="1" fillId="9" borderId="0" xfId="0" applyNumberFormat="1" applyFont="1" applyFill="1" applyAlignment="1">
      <alignment horizontal="center"/>
    </xf>
    <xf numFmtId="170" fontId="1" fillId="0" borderId="0" xfId="0" applyNumberFormat="1" applyFont="1"/>
    <xf numFmtId="0" fontId="11" fillId="0" borderId="0" xfId="0" applyFont="1"/>
    <xf numFmtId="10" fontId="10" fillId="7" borderId="0" xfId="0" applyNumberFormat="1" applyFont="1" applyFill="1"/>
    <xf numFmtId="2" fontId="10" fillId="7" borderId="0" xfId="0" applyNumberFormat="1" applyFont="1" applyFill="1"/>
    <xf numFmtId="0" fontId="1" fillId="9" borderId="0" xfId="0" applyFont="1" applyFill="1" applyAlignment="1">
      <alignment horizontal="center"/>
    </xf>
    <xf numFmtId="10" fontId="1" fillId="8" borderId="0" xfId="0" applyNumberFormat="1" applyFont="1" applyFill="1"/>
    <xf numFmtId="10" fontId="1" fillId="0" borderId="0" xfId="0" applyNumberFormat="1" applyFont="1"/>
    <xf numFmtId="0" fontId="14" fillId="10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73" fontId="1" fillId="0" borderId="0" xfId="0" applyNumberFormat="1" applyFont="1"/>
    <xf numFmtId="173" fontId="1" fillId="8" borderId="0" xfId="0" applyNumberFormat="1" applyFont="1" applyFill="1"/>
    <xf numFmtId="174" fontId="0" fillId="0" borderId="0" xfId="0" applyNumberFormat="1"/>
    <xf numFmtId="10" fontId="16" fillId="0" borderId="0" xfId="0" applyNumberFormat="1" applyFont="1"/>
    <xf numFmtId="10" fontId="10" fillId="0" borderId="0" xfId="0" applyNumberFormat="1" applyFont="1"/>
    <xf numFmtId="4" fontId="0" fillId="0" borderId="0" xfId="0" applyNumberFormat="1"/>
    <xf numFmtId="172" fontId="15" fillId="8" borderId="0" xfId="0" applyNumberFormat="1" applyFont="1" applyFill="1"/>
    <xf numFmtId="172" fontId="0" fillId="0" borderId="0" xfId="0" applyNumberFormat="1"/>
    <xf numFmtId="10" fontId="14" fillId="10" borderId="0" xfId="4" applyNumberFormat="1" applyFont="1" applyFill="1" applyBorder="1"/>
    <xf numFmtId="10" fontId="14" fillId="10" borderId="0" xfId="0" applyNumberFormat="1" applyFont="1" applyFill="1"/>
    <xf numFmtId="0" fontId="15" fillId="8" borderId="0" xfId="0" applyFont="1" applyFill="1"/>
    <xf numFmtId="170" fontId="10" fillId="7" borderId="0" xfId="0" applyNumberFormat="1" applyFont="1" applyFill="1"/>
    <xf numFmtId="175" fontId="0" fillId="0" borderId="0" xfId="0" applyNumberFormat="1" applyAlignment="1">
      <alignment horizontal="center"/>
    </xf>
    <xf numFmtId="175" fontId="1" fillId="8" borderId="0" xfId="0" applyNumberFormat="1" applyFont="1" applyFill="1" applyAlignment="1">
      <alignment horizontal="center"/>
    </xf>
    <xf numFmtId="0" fontId="6" fillId="0" borderId="0" xfId="0" applyFont="1"/>
    <xf numFmtId="0" fontId="2" fillId="4" borderId="0" xfId="0" applyFont="1" applyFill="1"/>
    <xf numFmtId="17" fontId="2" fillId="4" borderId="0" xfId="0" applyNumberFormat="1" applyFont="1" applyFill="1"/>
    <xf numFmtId="10" fontId="1" fillId="9" borderId="1" xfId="0" applyNumberFormat="1" applyFont="1" applyFill="1" applyBorder="1" applyAlignment="1">
      <alignment horizontal="center"/>
    </xf>
    <xf numFmtId="0" fontId="12" fillId="6" borderId="0" xfId="0" applyFont="1" applyFill="1"/>
    <xf numFmtId="0" fontId="2" fillId="4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167" fontId="13" fillId="0" borderId="0" xfId="0" applyNumberFormat="1" applyFont="1"/>
    <xf numFmtId="167" fontId="17" fillId="0" borderId="0" xfId="0" applyNumberFormat="1" applyFont="1"/>
    <xf numFmtId="167" fontId="18" fillId="0" borderId="0" xfId="0" applyNumberFormat="1" applyFont="1"/>
    <xf numFmtId="17" fontId="19" fillId="11" borderId="0" xfId="0" applyNumberFormat="1" applyFont="1" applyFill="1" applyAlignment="1">
      <alignment horizontal="right" vertical="center" wrapText="1"/>
    </xf>
    <xf numFmtId="0" fontId="20" fillId="12" borderId="2" xfId="0" applyFont="1" applyFill="1" applyBorder="1" applyAlignment="1">
      <alignment horizontal="left" vertical="center" indent="1"/>
    </xf>
    <xf numFmtId="3" fontId="20" fillId="12" borderId="2" xfId="0" applyNumberFormat="1" applyFont="1" applyFill="1" applyBorder="1" applyAlignment="1">
      <alignment horizontal="right" vertical="center" wrapText="1"/>
    </xf>
    <xf numFmtId="0" fontId="20" fillId="12" borderId="2" xfId="0" applyFont="1" applyFill="1" applyBorder="1" applyAlignment="1">
      <alignment horizontal="left" vertical="center"/>
    </xf>
    <xf numFmtId="0" fontId="22" fillId="12" borderId="0" xfId="0" applyFont="1" applyFill="1" applyAlignment="1">
      <alignment horizontal="left" vertical="center"/>
    </xf>
    <xf numFmtId="0" fontId="22" fillId="12" borderId="0" xfId="0" applyFont="1" applyFill="1" applyAlignment="1">
      <alignment horizontal="right" vertical="center" wrapText="1"/>
    </xf>
    <xf numFmtId="0" fontId="20" fillId="12" borderId="2" xfId="0" applyFont="1" applyFill="1" applyBorder="1" applyAlignment="1">
      <alignment horizontal="right" vertical="center" wrapText="1"/>
    </xf>
    <xf numFmtId="0" fontId="20" fillId="11" borderId="2" xfId="0" applyFont="1" applyFill="1" applyBorder="1" applyAlignment="1">
      <alignment horizontal="left" vertical="center" indent="1"/>
    </xf>
    <xf numFmtId="0" fontId="20" fillId="11" borderId="2" xfId="0" applyFont="1" applyFill="1" applyBorder="1" applyAlignment="1">
      <alignment horizontal="right" vertical="center" wrapText="1"/>
    </xf>
    <xf numFmtId="0" fontId="22" fillId="11" borderId="0" xfId="0" applyFont="1" applyFill="1" applyAlignment="1">
      <alignment horizontal="left" vertical="center"/>
    </xf>
    <xf numFmtId="0" fontId="22" fillId="11" borderId="0" xfId="0" applyFont="1" applyFill="1" applyAlignment="1">
      <alignment horizontal="right" vertical="center" wrapText="1"/>
    </xf>
    <xf numFmtId="3" fontId="22" fillId="12" borderId="0" xfId="0" applyNumberFormat="1" applyFont="1" applyFill="1" applyAlignment="1">
      <alignment horizontal="right" vertical="center" wrapText="1"/>
    </xf>
    <xf numFmtId="3" fontId="20" fillId="11" borderId="2" xfId="0" applyNumberFormat="1" applyFont="1" applyFill="1" applyBorder="1" applyAlignment="1">
      <alignment horizontal="right" vertical="center" wrapText="1"/>
    </xf>
    <xf numFmtId="0" fontId="23" fillId="12" borderId="0" xfId="0" applyFont="1" applyFill="1" applyAlignment="1">
      <alignment horizontal="left" vertical="center" indent="1"/>
    </xf>
    <xf numFmtId="0" fontId="23" fillId="12" borderId="0" xfId="0" applyFont="1" applyFill="1" applyAlignment="1">
      <alignment horizontal="right" vertical="center" wrapText="1"/>
    </xf>
    <xf numFmtId="3" fontId="23" fillId="12" borderId="0" xfId="0" applyNumberFormat="1" applyFont="1" applyFill="1" applyAlignment="1">
      <alignment horizontal="right" vertical="center" wrapText="1"/>
    </xf>
    <xf numFmtId="0" fontId="23" fillId="11" borderId="0" xfId="0" applyFont="1" applyFill="1" applyAlignment="1">
      <alignment horizontal="left" vertical="center" indent="1"/>
    </xf>
    <xf numFmtId="9" fontId="23" fillId="11" borderId="0" xfId="0" applyNumberFormat="1" applyFont="1" applyFill="1" applyAlignment="1">
      <alignment horizontal="right" vertical="center" wrapText="1"/>
    </xf>
    <xf numFmtId="3" fontId="22" fillId="11" borderId="0" xfId="0" applyNumberFormat="1" applyFont="1" applyFill="1" applyAlignment="1">
      <alignment horizontal="right" vertical="center" wrapText="1"/>
    </xf>
    <xf numFmtId="167" fontId="7" fillId="0" borderId="0" xfId="0" applyNumberFormat="1" applyFont="1"/>
    <xf numFmtId="167" fontId="24" fillId="0" borderId="0" xfId="0" applyNumberFormat="1" applyFont="1"/>
    <xf numFmtId="0" fontId="7" fillId="0" borderId="0" xfId="0" applyFont="1"/>
    <xf numFmtId="3" fontId="24" fillId="0" borderId="0" xfId="0" applyNumberFormat="1" applyFont="1"/>
    <xf numFmtId="172" fontId="7" fillId="0" borderId="0" xfId="0" applyNumberFormat="1" applyFont="1"/>
    <xf numFmtId="4" fontId="7" fillId="0" borderId="0" xfId="0" applyNumberFormat="1" applyFont="1"/>
    <xf numFmtId="173" fontId="7" fillId="0" borderId="0" xfId="0" applyNumberFormat="1" applyFont="1"/>
    <xf numFmtId="170" fontId="7" fillId="0" borderId="0" xfId="0" applyNumberFormat="1" applyFont="1"/>
    <xf numFmtId="0" fontId="24" fillId="9" borderId="0" xfId="0" applyFont="1" applyFill="1" applyAlignment="1">
      <alignment horizontal="center"/>
    </xf>
    <xf numFmtId="172" fontId="1" fillId="9" borderId="0" xfId="0" applyNumberFormat="1" applyFont="1" applyFill="1" applyBorder="1" applyAlignment="1">
      <alignment horizontal="center"/>
    </xf>
    <xf numFmtId="10" fontId="1" fillId="9" borderId="0" xfId="0" applyNumberFormat="1" applyFont="1" applyFill="1" applyBorder="1" applyAlignment="1">
      <alignment horizontal="center"/>
    </xf>
    <xf numFmtId="171" fontId="7" fillId="0" borderId="0" xfId="0" applyNumberFormat="1" applyFont="1"/>
    <xf numFmtId="173" fontId="24" fillId="0" borderId="0" xfId="0" applyNumberFormat="1" applyFont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4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21064C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 K" id="{882A99DE-33BC-4A98-9F2A-56405882F6BE}" userId="909e4b5f06f3938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K19" headerRowCount="0" totalsRowShown="0" headerRowDxfId="13">
  <tableColumns count="11">
    <tableColumn id="1" xr3:uid="{00000000-0010-0000-0000-000001000000}" name="Column1" headerRowDxfId="12" dataDxfId="11"/>
    <tableColumn id="2" xr3:uid="{00000000-0010-0000-0000-000002000000}" name="Column2" headerRowDxfId="10"/>
    <tableColumn id="3" xr3:uid="{00000000-0010-0000-0000-000003000000}" name="Column3" headerRowDxfId="9"/>
    <tableColumn id="4" xr3:uid="{00000000-0010-0000-0000-000004000000}" name="Column4" headerRowDxfId="8"/>
    <tableColumn id="5" xr3:uid="{00000000-0010-0000-0000-000005000000}" name="Column5" headerRowDxfId="7"/>
    <tableColumn id="6" xr3:uid="{00000000-0010-0000-0000-000006000000}" name="Column6" headerRowDxfId="6"/>
    <tableColumn id="7" xr3:uid="{00000000-0010-0000-0000-000007000000}" name="Column7" headerRowDxfId="5"/>
    <tableColumn id="8" xr3:uid="{00000000-0010-0000-0000-000008000000}" name="Column8" headerRowDxfId="4"/>
    <tableColumn id="9" xr3:uid="{00000000-0010-0000-0000-000009000000}" name="Column9" headerRowDxfId="3"/>
    <tableColumn id="10" xr3:uid="{00000000-0010-0000-0000-00000A000000}" name="Column10" headerRowDxfId="2"/>
    <tableColumn id="11" xr3:uid="{00000000-0010-0000-0000-00000B000000}" name="Column11" headerRow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6-09-10T09:55:39.04" personId="{882A99DE-33BC-4A98-9F2A-56405882F6BE}" id="{9E2E9C93-5FE0-47CC-9C3B-54E128FA8F04}">
    <text>Assumption= pre-tax cost of debt 7.5%. Implied interest cost in B13 is inflated so a market rate is used instead.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914FCE-E052-4B15-9C15-8BF26CFDFC4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de3f8a7-5409-4b99-bb12-df2a5e46c93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CDB1-3F5F-4076-8CD4-21ADFCA4C865}">
  <dimension ref="A1:G113"/>
  <sheetViews>
    <sheetView showGridLines="0" tabSelected="1" zoomScale="72" workbookViewId="0">
      <pane xSplit="1" topLeftCell="B1" activePane="topRight" state="frozen"/>
      <selection pane="topRight" activeCell="J11" sqref="J11"/>
    </sheetView>
  </sheetViews>
  <sheetFormatPr defaultRowHeight="14.5" x14ac:dyDescent="0.35"/>
  <cols>
    <col min="1" max="1" width="45.453125" customWidth="1"/>
    <col min="2" max="3" width="17.26953125" customWidth="1"/>
    <col min="4" max="4" width="13.26953125" customWidth="1"/>
    <col min="5" max="8" width="17.26953125" customWidth="1"/>
    <col min="9" max="9" width="16.7265625" customWidth="1"/>
  </cols>
  <sheetData>
    <row r="1" spans="1:7" ht="18.5" x14ac:dyDescent="0.45">
      <c r="A1" s="34" t="s">
        <v>143</v>
      </c>
    </row>
    <row r="3" spans="1:7" x14ac:dyDescent="0.35">
      <c r="A3" t="s">
        <v>144</v>
      </c>
      <c r="B3" s="40">
        <v>2</v>
      </c>
    </row>
    <row r="4" spans="1:7" x14ac:dyDescent="0.35">
      <c r="A4" t="s">
        <v>145</v>
      </c>
      <c r="B4" s="41" t="str">
        <f>IF($B$3=1,"BEAR",IF($B$3=2,"BASE","BULL"))</f>
        <v>BASE</v>
      </c>
    </row>
    <row r="6" spans="1:7" x14ac:dyDescent="0.35">
      <c r="A6" s="60" t="s">
        <v>204</v>
      </c>
      <c r="B6" s="60"/>
      <c r="C6" s="60"/>
      <c r="D6" s="60"/>
      <c r="E6" s="60"/>
      <c r="F6" s="60"/>
      <c r="G6" s="60"/>
    </row>
    <row r="7" spans="1:7" x14ac:dyDescent="0.35">
      <c r="A7" t="s">
        <v>228</v>
      </c>
      <c r="B7" s="90">
        <f>'Data Sheet'!B8</f>
        <v>1382.65</v>
      </c>
    </row>
    <row r="8" spans="1:7" x14ac:dyDescent="0.35">
      <c r="A8" t="s">
        <v>136</v>
      </c>
      <c r="B8" s="91">
        <f>'Data Sheet'!B6</f>
        <v>192.8314251618269</v>
      </c>
    </row>
    <row r="9" spans="1:7" x14ac:dyDescent="0.35">
      <c r="A9" t="s">
        <v>222</v>
      </c>
      <c r="B9" s="92">
        <f>B7*B8</f>
        <v>266618.37</v>
      </c>
    </row>
    <row r="10" spans="1:7" x14ac:dyDescent="0.35">
      <c r="A10" t="s">
        <v>223</v>
      </c>
      <c r="B10" s="92">
        <f>'Historical FS'!K50</f>
        <v>444.16</v>
      </c>
    </row>
    <row r="11" spans="1:7" x14ac:dyDescent="0.35">
      <c r="A11" t="s">
        <v>66</v>
      </c>
      <c r="B11" s="92">
        <f>'Historical FS'!K62</f>
        <v>1340.87</v>
      </c>
    </row>
    <row r="12" spans="1:7" x14ac:dyDescent="0.35">
      <c r="A12" t="s">
        <v>224</v>
      </c>
      <c r="B12" s="92">
        <f>B10-B11</f>
        <v>-896.70999999999981</v>
      </c>
    </row>
    <row r="13" spans="1:7" x14ac:dyDescent="0.35">
      <c r="A13" t="s">
        <v>225</v>
      </c>
      <c r="B13" s="92">
        <f>'Historical FS'!K5</f>
        <v>23154.6</v>
      </c>
    </row>
    <row r="14" spans="1:7" x14ac:dyDescent="0.35">
      <c r="A14" t="s">
        <v>226</v>
      </c>
      <c r="B14" s="92">
        <f>'Historical FS'!K22</f>
        <v>4607.7299999999996</v>
      </c>
    </row>
    <row r="15" spans="1:7" x14ac:dyDescent="0.35">
      <c r="A15" t="s">
        <v>146</v>
      </c>
      <c r="B15" s="93">
        <f>B14/B13</f>
        <v>0.19899847114612215</v>
      </c>
    </row>
    <row r="17" spans="1:6" x14ac:dyDescent="0.35">
      <c r="A17" s="60" t="s">
        <v>205</v>
      </c>
      <c r="B17" s="60"/>
      <c r="C17" s="60"/>
      <c r="D17" s="60"/>
      <c r="E17" s="60"/>
      <c r="F17" s="60"/>
    </row>
    <row r="18" spans="1:6" x14ac:dyDescent="0.35">
      <c r="A18" s="37" t="s">
        <v>147</v>
      </c>
      <c r="B18" s="37" t="s">
        <v>148</v>
      </c>
      <c r="C18" s="37" t="s">
        <v>149</v>
      </c>
      <c r="D18" s="37" t="s">
        <v>150</v>
      </c>
      <c r="E18" s="37" t="s">
        <v>151</v>
      </c>
      <c r="F18" s="37" t="s">
        <v>152</v>
      </c>
    </row>
    <row r="19" spans="1:6" x14ac:dyDescent="0.35">
      <c r="A19" t="s">
        <v>153</v>
      </c>
      <c r="B19" s="53">
        <v>7.0000000000000007E-2</v>
      </c>
      <c r="C19" s="53">
        <v>0.06</v>
      </c>
      <c r="D19" s="53">
        <v>0.06</v>
      </c>
      <c r="E19" s="53">
        <v>0.05</v>
      </c>
      <c r="F19" s="53">
        <v>0.05</v>
      </c>
    </row>
    <row r="20" spans="1:6" x14ac:dyDescent="0.35">
      <c r="A20" t="s">
        <v>154</v>
      </c>
      <c r="B20" s="53">
        <v>0.185</v>
      </c>
      <c r="C20" s="53">
        <v>0.183</v>
      </c>
      <c r="D20" s="53">
        <v>0.18</v>
      </c>
      <c r="E20" s="53">
        <v>0.18</v>
      </c>
      <c r="F20" s="53">
        <v>0.18</v>
      </c>
    </row>
    <row r="21" spans="1:6" x14ac:dyDescent="0.35">
      <c r="A21" t="s">
        <v>155</v>
      </c>
      <c r="B21" s="53">
        <v>0.255</v>
      </c>
      <c r="C21" s="53">
        <v>0.255</v>
      </c>
      <c r="D21" s="53">
        <v>0.255</v>
      </c>
      <c r="E21" s="53">
        <v>0.255</v>
      </c>
      <c r="F21" s="53">
        <v>0.255</v>
      </c>
    </row>
    <row r="22" spans="1:6" x14ac:dyDescent="0.35">
      <c r="A22" t="s">
        <v>156</v>
      </c>
      <c r="B22" s="53">
        <v>3.2000000000000001E-2</v>
      </c>
      <c r="C22" s="53">
        <v>3.2000000000000001E-2</v>
      </c>
      <c r="D22" s="53">
        <v>3.2000000000000001E-2</v>
      </c>
      <c r="E22" s="53">
        <v>3.2000000000000001E-2</v>
      </c>
      <c r="F22" s="53">
        <v>3.2000000000000001E-2</v>
      </c>
    </row>
    <row r="23" spans="1:6" x14ac:dyDescent="0.35">
      <c r="A23" t="s">
        <v>157</v>
      </c>
      <c r="B23" s="53">
        <v>4.4999999999999998E-2</v>
      </c>
      <c r="C23" s="53">
        <v>4.4999999999999998E-2</v>
      </c>
      <c r="D23" s="53">
        <v>4.4999999999999998E-2</v>
      </c>
      <c r="E23" s="53">
        <v>4.4999999999999998E-2</v>
      </c>
      <c r="F23" s="53">
        <v>4.4999999999999998E-2</v>
      </c>
    </row>
    <row r="24" spans="1:6" x14ac:dyDescent="0.35">
      <c r="A24" t="s">
        <v>158</v>
      </c>
      <c r="B24" s="53">
        <v>-0.03</v>
      </c>
      <c r="C24" s="53">
        <v>-0.03</v>
      </c>
      <c r="D24" s="53">
        <v>-0.03</v>
      </c>
      <c r="E24" s="53">
        <v>-0.03</v>
      </c>
      <c r="F24" s="53">
        <v>-0.03</v>
      </c>
    </row>
    <row r="26" spans="1:6" x14ac:dyDescent="0.35">
      <c r="A26" s="60" t="s">
        <v>206</v>
      </c>
      <c r="B26" s="60"/>
      <c r="C26" s="60"/>
      <c r="D26" s="60"/>
      <c r="E26" s="60"/>
      <c r="F26" s="60"/>
    </row>
    <row r="27" spans="1:6" x14ac:dyDescent="0.35">
      <c r="A27" s="37" t="s">
        <v>147</v>
      </c>
      <c r="B27" s="37" t="s">
        <v>148</v>
      </c>
      <c r="C27" s="37" t="s">
        <v>149</v>
      </c>
      <c r="D27" s="37" t="s">
        <v>150</v>
      </c>
      <c r="E27" s="37" t="s">
        <v>151</v>
      </c>
      <c r="F27" s="37" t="s">
        <v>152</v>
      </c>
    </row>
    <row r="28" spans="1:6" x14ac:dyDescent="0.35">
      <c r="A28" t="s">
        <v>153</v>
      </c>
      <c r="B28" s="53">
        <v>0.11</v>
      </c>
      <c r="C28" s="53">
        <v>0.1</v>
      </c>
      <c r="D28" s="53">
        <v>0.09</v>
      </c>
      <c r="E28" s="53">
        <v>0.08</v>
      </c>
      <c r="F28" s="53">
        <v>7.0000000000000007E-2</v>
      </c>
    </row>
    <row r="29" spans="1:6" x14ac:dyDescent="0.35">
      <c r="A29" t="s">
        <v>154</v>
      </c>
      <c r="B29" s="53">
        <v>0.2</v>
      </c>
      <c r="C29" s="53">
        <v>0.20200000000000001</v>
      </c>
      <c r="D29" s="53">
        <v>0.20399999999999999</v>
      </c>
      <c r="E29" s="53">
        <v>0.20599999999999999</v>
      </c>
      <c r="F29" s="53">
        <v>0.20799999999999999</v>
      </c>
    </row>
    <row r="30" spans="1:6" x14ac:dyDescent="0.35">
      <c r="A30" t="s">
        <v>155</v>
      </c>
      <c r="B30" s="53">
        <v>0.25</v>
      </c>
      <c r="C30" s="53">
        <v>0.25</v>
      </c>
      <c r="D30" s="53">
        <v>0.25</v>
      </c>
      <c r="E30" s="53">
        <v>0.25</v>
      </c>
      <c r="F30" s="53">
        <v>0.25</v>
      </c>
    </row>
    <row r="31" spans="1:6" x14ac:dyDescent="0.35">
      <c r="A31" t="s">
        <v>156</v>
      </c>
      <c r="B31" s="53">
        <v>0.03</v>
      </c>
      <c r="C31" s="53">
        <v>0.03</v>
      </c>
      <c r="D31" s="53">
        <v>0.03</v>
      </c>
      <c r="E31" s="53">
        <v>0.03</v>
      </c>
      <c r="F31" s="53">
        <v>0.03</v>
      </c>
    </row>
    <row r="32" spans="1:6" x14ac:dyDescent="0.35">
      <c r="A32" t="s">
        <v>157</v>
      </c>
      <c r="B32" s="53">
        <v>3.5999999999999997E-2</v>
      </c>
      <c r="C32" s="53">
        <v>3.5999999999999997E-2</v>
      </c>
      <c r="D32" s="53">
        <v>3.5999999999999997E-2</v>
      </c>
      <c r="E32" s="53">
        <v>3.5999999999999997E-2</v>
      </c>
      <c r="F32" s="53">
        <v>3.5999999999999997E-2</v>
      </c>
    </row>
    <row r="33" spans="1:6" x14ac:dyDescent="0.35">
      <c r="A33" t="s">
        <v>158</v>
      </c>
      <c r="B33" s="53">
        <v>-0.05</v>
      </c>
      <c r="C33" s="53">
        <v>-0.05</v>
      </c>
      <c r="D33" s="53">
        <v>-0.05</v>
      </c>
      <c r="E33" s="53">
        <v>-0.05</v>
      </c>
      <c r="F33" s="53">
        <v>-0.05</v>
      </c>
    </row>
    <row r="35" spans="1:6" x14ac:dyDescent="0.35">
      <c r="A35" s="60" t="s">
        <v>207</v>
      </c>
      <c r="B35" s="60"/>
      <c r="C35" s="60"/>
      <c r="D35" s="60"/>
      <c r="E35" s="60"/>
      <c r="F35" s="60"/>
    </row>
    <row r="36" spans="1:6" x14ac:dyDescent="0.35">
      <c r="A36" s="37" t="s">
        <v>147</v>
      </c>
      <c r="B36" s="37" t="s">
        <v>148</v>
      </c>
      <c r="C36" s="37" t="s">
        <v>149</v>
      </c>
      <c r="D36" s="37" t="s">
        <v>150</v>
      </c>
      <c r="E36" s="37" t="s">
        <v>151</v>
      </c>
      <c r="F36" s="37" t="s">
        <v>152</v>
      </c>
    </row>
    <row r="37" spans="1:6" x14ac:dyDescent="0.35">
      <c r="A37" t="s">
        <v>153</v>
      </c>
      <c r="B37" s="53">
        <v>0.14000000000000001</v>
      </c>
      <c r="C37" s="53">
        <v>0.13</v>
      </c>
      <c r="D37" s="53">
        <v>0.12</v>
      </c>
      <c r="E37" s="53">
        <v>0.11</v>
      </c>
      <c r="F37" s="53">
        <v>0.1</v>
      </c>
    </row>
    <row r="38" spans="1:6" x14ac:dyDescent="0.35">
      <c r="A38" t="s">
        <v>154</v>
      </c>
      <c r="B38" s="53">
        <v>0.21</v>
      </c>
      <c r="C38" s="53">
        <v>0.215</v>
      </c>
      <c r="D38" s="53">
        <v>0.22</v>
      </c>
      <c r="E38" s="53">
        <v>0.22500000000000001</v>
      </c>
      <c r="F38" s="53">
        <v>0.23</v>
      </c>
    </row>
    <row r="39" spans="1:6" x14ac:dyDescent="0.35">
      <c r="A39" t="s">
        <v>155</v>
      </c>
      <c r="B39" s="53">
        <v>0.245</v>
      </c>
      <c r="C39" s="53">
        <v>0.245</v>
      </c>
      <c r="D39" s="53">
        <v>0.245</v>
      </c>
      <c r="E39" s="53">
        <v>0.245</v>
      </c>
      <c r="F39" s="53">
        <v>0.245</v>
      </c>
    </row>
    <row r="40" spans="1:6" x14ac:dyDescent="0.35">
      <c r="A40" t="s">
        <v>156</v>
      </c>
      <c r="B40" s="53">
        <v>2.9000000000000001E-2</v>
      </c>
      <c r="C40" s="53">
        <v>2.9000000000000001E-2</v>
      </c>
      <c r="D40" s="53">
        <v>2.9000000000000001E-2</v>
      </c>
      <c r="E40" s="53">
        <v>2.9000000000000001E-2</v>
      </c>
      <c r="F40" s="53">
        <v>2.9000000000000001E-2</v>
      </c>
    </row>
    <row r="41" spans="1:6" x14ac:dyDescent="0.35">
      <c r="A41" t="s">
        <v>157</v>
      </c>
      <c r="B41" s="53">
        <v>3.4000000000000002E-2</v>
      </c>
      <c r="C41" s="53">
        <v>3.4000000000000002E-2</v>
      </c>
      <c r="D41" s="53">
        <v>3.4000000000000002E-2</v>
      </c>
      <c r="E41" s="53">
        <v>3.4000000000000002E-2</v>
      </c>
      <c r="F41" s="53">
        <v>3.4000000000000002E-2</v>
      </c>
    </row>
    <row r="42" spans="1:6" x14ac:dyDescent="0.35">
      <c r="A42" t="s">
        <v>158</v>
      </c>
      <c r="B42" s="53">
        <v>-0.06</v>
      </c>
      <c r="C42" s="53">
        <v>-0.06</v>
      </c>
      <c r="D42" s="53">
        <v>-0.06</v>
      </c>
      <c r="E42" s="53">
        <v>-0.06</v>
      </c>
      <c r="F42" s="53">
        <v>-0.06</v>
      </c>
    </row>
    <row r="44" spans="1:6" x14ac:dyDescent="0.35">
      <c r="A44" s="60" t="s">
        <v>208</v>
      </c>
      <c r="B44" s="60"/>
      <c r="C44" s="60"/>
      <c r="D44" s="60"/>
      <c r="E44" s="60"/>
      <c r="F44" s="60"/>
    </row>
    <row r="45" spans="1:6" x14ac:dyDescent="0.35">
      <c r="A45" s="37" t="s">
        <v>147</v>
      </c>
      <c r="B45" s="37" t="s">
        <v>148</v>
      </c>
      <c r="C45" s="37" t="s">
        <v>149</v>
      </c>
      <c r="D45" s="37" t="s">
        <v>150</v>
      </c>
      <c r="E45" s="37" t="s">
        <v>151</v>
      </c>
      <c r="F45" s="37" t="s">
        <v>152</v>
      </c>
    </row>
    <row r="46" spans="1:6" x14ac:dyDescent="0.35">
      <c r="A46" t="s">
        <v>153</v>
      </c>
      <c r="B46" s="30">
        <f>CHOOSE($B$3,B19,B28,B37)</f>
        <v>0.11</v>
      </c>
      <c r="C46" s="30">
        <f>CHOOSE($B$3,C19,C28,C37)</f>
        <v>0.1</v>
      </c>
      <c r="D46" s="30">
        <f>CHOOSE($B$3,D19,D28,D37)</f>
        <v>0.09</v>
      </c>
      <c r="E46" s="30">
        <f>CHOOSE($B$3,E19,E28,E37)</f>
        <v>0.08</v>
      </c>
      <c r="F46" s="30">
        <f>CHOOSE($B$3,F19,F28,F37)</f>
        <v>7.0000000000000007E-2</v>
      </c>
    </row>
    <row r="47" spans="1:6" x14ac:dyDescent="0.35">
      <c r="A47" t="s">
        <v>154</v>
      </c>
      <c r="B47" s="30">
        <f>CHOOSE($B$3,B20,B29,B38)</f>
        <v>0.2</v>
      </c>
      <c r="C47" s="30">
        <f>CHOOSE($B$3,C20,C29,C38)</f>
        <v>0.20200000000000001</v>
      </c>
      <c r="D47" s="30">
        <f>CHOOSE($B$3,D20,D29,D38)</f>
        <v>0.20399999999999999</v>
      </c>
      <c r="E47" s="30">
        <f>CHOOSE($B$3,E20,E29,E38)</f>
        <v>0.20599999999999999</v>
      </c>
      <c r="F47" s="30">
        <f>CHOOSE($B$3,F20,F29,F38)</f>
        <v>0.20799999999999999</v>
      </c>
    </row>
    <row r="48" spans="1:6" x14ac:dyDescent="0.35">
      <c r="A48" t="s">
        <v>155</v>
      </c>
      <c r="B48" s="30">
        <f>CHOOSE($B$3,B21,B30,B39)</f>
        <v>0.25</v>
      </c>
      <c r="C48" s="30">
        <f>CHOOSE($B$3,C21,C30,C39)</f>
        <v>0.25</v>
      </c>
      <c r="D48" s="30">
        <f>CHOOSE($B$3,D21,D30,D39)</f>
        <v>0.25</v>
      </c>
      <c r="E48" s="30">
        <f>CHOOSE($B$3,E21,E30,E39)</f>
        <v>0.25</v>
      </c>
      <c r="F48" s="30">
        <f>CHOOSE($B$3,F21,F30,F39)</f>
        <v>0.25</v>
      </c>
    </row>
    <row r="49" spans="1:7" x14ac:dyDescent="0.35">
      <c r="A49" t="s">
        <v>156</v>
      </c>
      <c r="B49" s="30">
        <f>CHOOSE($B$3,B22,B31,B40)</f>
        <v>0.03</v>
      </c>
      <c r="C49" s="30">
        <f>CHOOSE($B$3,C22,C31,C40)</f>
        <v>0.03</v>
      </c>
      <c r="D49" s="30">
        <f>CHOOSE($B$3,D22,D31,D40)</f>
        <v>0.03</v>
      </c>
      <c r="E49" s="30">
        <f>CHOOSE($B$3,E22,E31,E40)</f>
        <v>0.03</v>
      </c>
      <c r="F49" s="30">
        <f>CHOOSE($B$3,F22,F31,F40)</f>
        <v>0.03</v>
      </c>
    </row>
    <row r="50" spans="1:7" x14ac:dyDescent="0.35">
      <c r="A50" t="s">
        <v>157</v>
      </c>
      <c r="B50" s="30">
        <f>CHOOSE($B$3,B23,B32,B41)</f>
        <v>3.5999999999999997E-2</v>
      </c>
      <c r="C50" s="30">
        <f>CHOOSE($B$3,C23,C32,C41)</f>
        <v>3.5999999999999997E-2</v>
      </c>
      <c r="D50" s="30">
        <f>CHOOSE($B$3,D23,D32,D41)</f>
        <v>3.5999999999999997E-2</v>
      </c>
      <c r="E50" s="30">
        <f>CHOOSE($B$3,E23,E32,E41)</f>
        <v>3.5999999999999997E-2</v>
      </c>
      <c r="F50" s="30">
        <f>CHOOSE($B$3,F23,F32,F41)</f>
        <v>3.5999999999999997E-2</v>
      </c>
    </row>
    <row r="51" spans="1:7" x14ac:dyDescent="0.35">
      <c r="A51" t="s">
        <v>158</v>
      </c>
      <c r="B51" s="30">
        <f>CHOOSE($B$3,B24,B33,B42)</f>
        <v>-0.05</v>
      </c>
      <c r="C51" s="30">
        <f>CHOOSE($B$3,C24,C33,C42)</f>
        <v>-0.05</v>
      </c>
      <c r="D51" s="30">
        <f>CHOOSE($B$3,D24,D33,D42)</f>
        <v>-0.05</v>
      </c>
      <c r="E51" s="30">
        <f>CHOOSE($B$3,E24,E33,E42)</f>
        <v>-0.05</v>
      </c>
      <c r="F51" s="30">
        <f>CHOOSE($B$3,F24,F33,F42)</f>
        <v>-0.05</v>
      </c>
    </row>
    <row r="53" spans="1:7" x14ac:dyDescent="0.35">
      <c r="A53" s="60" t="s">
        <v>209</v>
      </c>
      <c r="B53" s="60"/>
      <c r="C53" s="60"/>
      <c r="D53" s="60"/>
      <c r="E53" s="60"/>
      <c r="F53" s="60"/>
      <c r="G53" s="60"/>
    </row>
    <row r="54" spans="1:7" x14ac:dyDescent="0.35">
      <c r="A54" s="37" t="s">
        <v>210</v>
      </c>
      <c r="B54" s="94" t="s">
        <v>159</v>
      </c>
      <c r="C54" s="37" t="s">
        <v>148</v>
      </c>
      <c r="D54" s="37" t="s">
        <v>149</v>
      </c>
      <c r="E54" s="37" t="s">
        <v>150</v>
      </c>
      <c r="F54" s="37" t="s">
        <v>151</v>
      </c>
      <c r="G54" s="37" t="s">
        <v>152</v>
      </c>
    </row>
    <row r="55" spans="1:7" x14ac:dyDescent="0.35">
      <c r="A55" t="s">
        <v>160</v>
      </c>
      <c r="B55" s="92">
        <f>B13</f>
        <v>23154.6</v>
      </c>
      <c r="C55" s="12">
        <f>B55*(1+B$46)</f>
        <v>25701.606</v>
      </c>
      <c r="D55" s="12">
        <f>C55*(1+C$46)</f>
        <v>28271.766600000003</v>
      </c>
      <c r="E55" s="12">
        <f>D55*(1+D$46)</f>
        <v>30816.225594000007</v>
      </c>
      <c r="F55" s="12">
        <f>E55*(1+E$46)</f>
        <v>33281.523641520012</v>
      </c>
      <c r="G55" s="12">
        <f>F55*(1+F$46)</f>
        <v>35611.230296426416</v>
      </c>
    </row>
    <row r="56" spans="1:7" x14ac:dyDescent="0.35">
      <c r="A56" t="s">
        <v>161</v>
      </c>
      <c r="B56" s="93">
        <f>'Historical FS'!K6</f>
        <v>0.14617880995329058</v>
      </c>
      <c r="C56" s="29">
        <f>C55/B55-1</f>
        <v>0.1100000000000001</v>
      </c>
      <c r="D56" s="29">
        <f>D55/C55-1</f>
        <v>0.10000000000000009</v>
      </c>
      <c r="E56" s="29">
        <f>E55/D55-1</f>
        <v>9.000000000000008E-2</v>
      </c>
      <c r="F56" s="29">
        <f>F55/E55-1</f>
        <v>8.0000000000000071E-2</v>
      </c>
      <c r="G56" s="29">
        <f>G55/F55-1</f>
        <v>7.0000000000000062E-2</v>
      </c>
    </row>
    <row r="57" spans="1:7" x14ac:dyDescent="0.35">
      <c r="A57" t="s">
        <v>129</v>
      </c>
      <c r="B57" s="92">
        <f>B14</f>
        <v>4607.7299999999996</v>
      </c>
      <c r="C57" s="12">
        <f>C55*B$47</f>
        <v>5140.3212000000003</v>
      </c>
      <c r="D57" s="12">
        <f>D55*C$47</f>
        <v>5710.8968532000008</v>
      </c>
      <c r="E57" s="12">
        <f>E55*D$47</f>
        <v>6286.5100211760009</v>
      </c>
      <c r="F57" s="12">
        <f>F55*E$47</f>
        <v>6855.9938701531219</v>
      </c>
      <c r="G57" s="12">
        <f>G55*F$47</f>
        <v>7407.1359016566939</v>
      </c>
    </row>
    <row r="58" spans="1:7" x14ac:dyDescent="0.35">
      <c r="A58" t="s">
        <v>162</v>
      </c>
      <c r="B58" s="93">
        <f t="shared" ref="B58:G58" si="0">B57/B55</f>
        <v>0.19899847114612215</v>
      </c>
      <c r="C58" s="29">
        <f t="shared" si="0"/>
        <v>0.2</v>
      </c>
      <c r="D58" s="29">
        <f t="shared" si="0"/>
        <v>0.20200000000000001</v>
      </c>
      <c r="E58" s="29">
        <f t="shared" si="0"/>
        <v>0.20399999999999999</v>
      </c>
      <c r="F58" s="29">
        <f t="shared" si="0"/>
        <v>0.20599999999999999</v>
      </c>
      <c r="G58" s="29">
        <f t="shared" si="0"/>
        <v>0.20799999999999999</v>
      </c>
    </row>
    <row r="59" spans="1:7" x14ac:dyDescent="0.35">
      <c r="A59" t="s">
        <v>163</v>
      </c>
      <c r="C59" s="12">
        <f>C57*B$48</f>
        <v>1285.0803000000001</v>
      </c>
      <c r="D59" s="12">
        <f>D57*C$48</f>
        <v>1427.7242133000002</v>
      </c>
      <c r="E59" s="12">
        <f>E57*D$48</f>
        <v>1571.6275052940002</v>
      </c>
      <c r="F59" s="12">
        <f>F57*E$48</f>
        <v>1713.9984675382805</v>
      </c>
      <c r="G59" s="12">
        <f>G57*F$48</f>
        <v>1851.7839754141735</v>
      </c>
    </row>
    <row r="60" spans="1:7" x14ac:dyDescent="0.35">
      <c r="A60" s="2" t="s">
        <v>164</v>
      </c>
      <c r="B60" s="2"/>
      <c r="C60" s="42">
        <f>C57-C59</f>
        <v>3855.2409000000002</v>
      </c>
      <c r="D60" s="42">
        <f>D57-D59</f>
        <v>4283.1726399000008</v>
      </c>
      <c r="E60" s="42">
        <f>E57-E59</f>
        <v>4714.8825158820009</v>
      </c>
      <c r="F60" s="42">
        <f>F57-F59</f>
        <v>5141.9954026148416</v>
      </c>
      <c r="G60" s="42">
        <f>G57-G59</f>
        <v>5555.3519262425207</v>
      </c>
    </row>
    <row r="61" spans="1:7" x14ac:dyDescent="0.35">
      <c r="A61" t="s">
        <v>165</v>
      </c>
      <c r="C61" s="12">
        <f>C55*B$49</f>
        <v>771.04818</v>
      </c>
      <c r="D61" s="12">
        <f>D55*C$49</f>
        <v>848.15299800000003</v>
      </c>
      <c r="E61" s="12">
        <f>E55*D$49</f>
        <v>924.48676782000018</v>
      </c>
      <c r="F61" s="12">
        <f>F55*E$49</f>
        <v>998.44570924560037</v>
      </c>
      <c r="G61" s="12">
        <f>G55*F$49</f>
        <v>1068.3369088927925</v>
      </c>
    </row>
    <row r="62" spans="1:7" x14ac:dyDescent="0.35">
      <c r="A62" t="s">
        <v>166</v>
      </c>
      <c r="C62" s="12">
        <f>C55*B$50</f>
        <v>925.25781599999993</v>
      </c>
      <c r="D62" s="12">
        <f>D55*C$50</f>
        <v>1017.7835976</v>
      </c>
      <c r="E62" s="12">
        <f>E55*D$50</f>
        <v>1109.3841213840001</v>
      </c>
      <c r="F62" s="12">
        <f>F55*E$50</f>
        <v>1198.1348510947203</v>
      </c>
      <c r="G62" s="12">
        <f>G55*F$50</f>
        <v>1282.0042906713509</v>
      </c>
    </row>
    <row r="63" spans="1:7" x14ac:dyDescent="0.35">
      <c r="A63" t="s">
        <v>167</v>
      </c>
      <c r="C63" s="12">
        <f>(C55-B55)*B$51</f>
        <v>-127.35030000000006</v>
      </c>
      <c r="D63" s="12">
        <f>(D55-C55)*C$51</f>
        <v>-128.50803000000016</v>
      </c>
      <c r="E63" s="12">
        <f>(E55-D55)*D$51</f>
        <v>-127.22294970000021</v>
      </c>
      <c r="F63" s="12">
        <f>(F55-E55)*E$51</f>
        <v>-123.26490237600029</v>
      </c>
      <c r="G63" s="12">
        <f>(G55-F55)*F$51</f>
        <v>-116.48533274532019</v>
      </c>
    </row>
    <row r="64" spans="1:7" x14ac:dyDescent="0.35">
      <c r="A64" s="2" t="s">
        <v>168</v>
      </c>
      <c r="B64" s="31"/>
      <c r="C64" s="43">
        <f>C60+C61-C62-C63</f>
        <v>3828.3815640000007</v>
      </c>
      <c r="D64" s="43">
        <f>D60+D61-D62-D63</f>
        <v>4242.0500703000016</v>
      </c>
      <c r="E64" s="43">
        <f>E60+E61-E62-E63</f>
        <v>4657.2081120180001</v>
      </c>
      <c r="F64" s="43">
        <f>F60+F61-F62-F63</f>
        <v>5065.5711631417225</v>
      </c>
      <c r="G64" s="43">
        <f>G60+G61-G62-G63</f>
        <v>5458.1698772092832</v>
      </c>
    </row>
    <row r="65" spans="1:7" x14ac:dyDescent="0.35">
      <c r="A65" t="s">
        <v>169</v>
      </c>
      <c r="C65" s="29">
        <f>C64/C55</f>
        <v>0.14895495495495498</v>
      </c>
      <c r="D65" s="29">
        <f>D64/D55</f>
        <v>0.15004545454545459</v>
      </c>
      <c r="E65" s="29">
        <f>E64/E55</f>
        <v>0.15112844036697246</v>
      </c>
      <c r="F65" s="29">
        <f>F64/F55</f>
        <v>0.15220370370370373</v>
      </c>
      <c r="G65" s="29">
        <f>G64/G55</f>
        <v>0.15327102803738318</v>
      </c>
    </row>
    <row r="67" spans="1:7" x14ac:dyDescent="0.35">
      <c r="A67" s="60" t="s">
        <v>183</v>
      </c>
      <c r="B67" s="60"/>
      <c r="C67" s="60"/>
      <c r="D67" s="60"/>
      <c r="E67" s="60"/>
      <c r="F67" s="60"/>
      <c r="G67" s="60"/>
    </row>
    <row r="68" spans="1:7" x14ac:dyDescent="0.35">
      <c r="A68" s="37" t="s">
        <v>210</v>
      </c>
      <c r="B68" s="37"/>
      <c r="C68" s="37" t="s">
        <v>148</v>
      </c>
      <c r="D68" s="37" t="s">
        <v>149</v>
      </c>
      <c r="E68" s="37" t="s">
        <v>150</v>
      </c>
      <c r="F68" s="37" t="s">
        <v>151</v>
      </c>
      <c r="G68" s="37" t="s">
        <v>152</v>
      </c>
    </row>
    <row r="69" spans="1:7" x14ac:dyDescent="0.35">
      <c r="A69" t="s">
        <v>168</v>
      </c>
      <c r="C69" s="12">
        <f>C64</f>
        <v>3828.3815640000007</v>
      </c>
      <c r="D69" s="12">
        <f>D64</f>
        <v>4242.0500703000016</v>
      </c>
      <c r="E69" s="12">
        <f>E64</f>
        <v>4657.2081120180001</v>
      </c>
      <c r="F69" s="12">
        <f>F64</f>
        <v>5065.5711631417225</v>
      </c>
      <c r="G69" s="12">
        <f>G64</f>
        <v>5458.1698772092832</v>
      </c>
    </row>
    <row r="70" spans="1:7" x14ac:dyDescent="0.35">
      <c r="A70" t="s">
        <v>170</v>
      </c>
      <c r="C70" s="11">
        <v>1</v>
      </c>
      <c r="D70" s="11">
        <v>2</v>
      </c>
      <c r="E70" s="11">
        <v>3</v>
      </c>
      <c r="F70" s="11">
        <v>4</v>
      </c>
      <c r="G70" s="11">
        <v>5</v>
      </c>
    </row>
    <row r="71" spans="1:7" x14ac:dyDescent="0.35">
      <c r="A71" t="s">
        <v>171</v>
      </c>
      <c r="C71" s="44">
        <f>1/(1+$B$75)^C70</f>
        <v>0.90259718760229402</v>
      </c>
      <c r="D71" s="44">
        <f>1/(1+$B$75)^D70</f>
        <v>0.81468168306757072</v>
      </c>
      <c r="E71" s="44">
        <f>1/(1+$B$75)^E70</f>
        <v>0.73532939592789281</v>
      </c>
      <c r="F71" s="44">
        <f>1/(1+$B$75)^F70</f>
        <v>0.66370624472580986</v>
      </c>
      <c r="G71" s="44">
        <f>1/(1+$B$75)^G70</f>
        <v>0.59905938988359586</v>
      </c>
    </row>
    <row r="72" spans="1:7" x14ac:dyDescent="0.35">
      <c r="A72" t="s">
        <v>172</v>
      </c>
      <c r="C72" s="12">
        <f>C69*C71</f>
        <v>3455.4864327348723</v>
      </c>
      <c r="D72" s="12">
        <f>D69*D71</f>
        <v>3455.9204909289119</v>
      </c>
      <c r="E72" s="12">
        <f>E69*E71</f>
        <v>3424.5820277206781</v>
      </c>
      <c r="F72" s="12">
        <f>F69*F71</f>
        <v>3362.0512140801452</v>
      </c>
      <c r="G72" s="12">
        <f>G69*G71</f>
        <v>3269.7679165220147</v>
      </c>
    </row>
    <row r="74" spans="1:7" x14ac:dyDescent="0.35">
      <c r="A74" s="60" t="s">
        <v>211</v>
      </c>
      <c r="B74" s="60"/>
      <c r="C74" s="60"/>
      <c r="D74" s="60"/>
      <c r="E74" s="60"/>
      <c r="F74" s="60"/>
      <c r="G74" s="60"/>
    </row>
    <row r="75" spans="1:7" x14ac:dyDescent="0.35">
      <c r="A75" t="s">
        <v>202</v>
      </c>
      <c r="B75" s="45">
        <f>B93</f>
        <v>0.107913932965437</v>
      </c>
    </row>
    <row r="76" spans="1:7" x14ac:dyDescent="0.35">
      <c r="A76" t="s">
        <v>173</v>
      </c>
      <c r="B76" s="46">
        <v>0.05</v>
      </c>
    </row>
    <row r="77" spans="1:7" x14ac:dyDescent="0.35">
      <c r="A77" t="s">
        <v>174</v>
      </c>
      <c r="B77" s="12">
        <f>G64*(1+B76)</f>
        <v>5731.0783710697478</v>
      </c>
    </row>
    <row r="78" spans="1:7" x14ac:dyDescent="0.35">
      <c r="A78" t="s">
        <v>175</v>
      </c>
      <c r="B78" s="12">
        <f>B77/(B75-B76)</f>
        <v>98958.542057401835</v>
      </c>
    </row>
    <row r="79" spans="1:7" x14ac:dyDescent="0.35">
      <c r="A79" t="s">
        <v>176</v>
      </c>
      <c r="B79" s="12">
        <f>B78/(1+B75)^G70</f>
        <v>59282.043828677306</v>
      </c>
    </row>
    <row r="81" spans="1:7" x14ac:dyDescent="0.35">
      <c r="A81" s="60" t="s">
        <v>201</v>
      </c>
      <c r="B81" s="60"/>
      <c r="C81" s="60"/>
      <c r="D81" s="60"/>
      <c r="E81" s="60"/>
      <c r="F81" s="60"/>
      <c r="G81" s="60"/>
    </row>
    <row r="82" spans="1:7" x14ac:dyDescent="0.35">
      <c r="A82" t="s">
        <v>182</v>
      </c>
      <c r="B82" s="12">
        <f>SUM(C72:G72)</f>
        <v>16967.808081986623</v>
      </c>
    </row>
    <row r="83" spans="1:7" x14ac:dyDescent="0.35">
      <c r="A83" t="s">
        <v>176</v>
      </c>
      <c r="B83" s="12">
        <f>B79</f>
        <v>59282.043828677306</v>
      </c>
    </row>
    <row r="84" spans="1:7" x14ac:dyDescent="0.35">
      <c r="A84" s="31" t="s">
        <v>177</v>
      </c>
      <c r="B84" s="43">
        <f>B82+B83</f>
        <v>76249.851910663929</v>
      </c>
    </row>
    <row r="85" spans="1:7" x14ac:dyDescent="0.35">
      <c r="A85" t="s">
        <v>178</v>
      </c>
      <c r="B85" s="12">
        <f>B12</f>
        <v>-896.70999999999981</v>
      </c>
    </row>
    <row r="86" spans="1:7" x14ac:dyDescent="0.35">
      <c r="A86" s="31" t="s">
        <v>179</v>
      </c>
      <c r="B86" s="43">
        <f>B84-B85</f>
        <v>77146.561910663935</v>
      </c>
    </row>
    <row r="87" spans="1:7" x14ac:dyDescent="0.35">
      <c r="A87" t="s">
        <v>136</v>
      </c>
      <c r="B87" s="47">
        <f>B8</f>
        <v>192.8314251618269</v>
      </c>
    </row>
    <row r="88" spans="1:7" ht="15.5" x14ac:dyDescent="0.35">
      <c r="A88" s="52" t="s">
        <v>229</v>
      </c>
      <c r="B88" s="48">
        <f>B86/B87</f>
        <v>400.07255998819403</v>
      </c>
    </row>
    <row r="89" spans="1:7" x14ac:dyDescent="0.35">
      <c r="A89" t="s">
        <v>228</v>
      </c>
      <c r="B89" s="49">
        <f>B7</f>
        <v>1382.65</v>
      </c>
    </row>
    <row r="90" spans="1:7" x14ac:dyDescent="0.35">
      <c r="A90" s="31" t="s">
        <v>180</v>
      </c>
      <c r="B90" s="30">
        <f>B88/B89-1</f>
        <v>-0.71064798756865866</v>
      </c>
    </row>
    <row r="91" spans="1:7" x14ac:dyDescent="0.35">
      <c r="A91" t="s">
        <v>181</v>
      </c>
      <c r="B91" s="29">
        <f>B83/B84</f>
        <v>0.77747093723058647</v>
      </c>
    </row>
    <row r="93" spans="1:7" x14ac:dyDescent="0.35">
      <c r="A93" s="2" t="s">
        <v>202</v>
      </c>
      <c r="B93" s="50">
        <v>0.107913932965437</v>
      </c>
    </row>
    <row r="94" spans="1:7" x14ac:dyDescent="0.35">
      <c r="A94" s="2" t="s">
        <v>173</v>
      </c>
      <c r="B94" s="51">
        <v>0.05</v>
      </c>
    </row>
    <row r="96" spans="1:7" x14ac:dyDescent="0.35">
      <c r="A96" s="28" t="s">
        <v>212</v>
      </c>
      <c r="B96" s="28"/>
      <c r="C96" s="28"/>
      <c r="D96" s="28"/>
      <c r="E96" s="28"/>
      <c r="F96" s="28"/>
    </row>
    <row r="97" spans="1:6" x14ac:dyDescent="0.35">
      <c r="A97" s="95">
        <f>B88</f>
        <v>400.07255998819403</v>
      </c>
      <c r="B97" s="96">
        <v>0.04</v>
      </c>
      <c r="C97" s="96">
        <v>4.4999999999999998E-2</v>
      </c>
      <c r="D97" s="96">
        <v>0.05</v>
      </c>
      <c r="E97" s="96">
        <v>5.5E-2</v>
      </c>
      <c r="F97" s="96">
        <v>0.06</v>
      </c>
    </row>
    <row r="98" spans="1:6" x14ac:dyDescent="0.35">
      <c r="A98" s="59">
        <v>9.7913932965437003E-2</v>
      </c>
      <c r="B98" s="54">
        <f t="dataTable" ref="B98:F102" dt2D="1" dtr="1" r1="B76" r2="B93"/>
        <v>413.67809473946761</v>
      </c>
      <c r="C98" s="54">
        <v>445.4624168836076</v>
      </c>
      <c r="D98" s="54">
        <v>483.88036732268819</v>
      </c>
      <c r="E98" s="54">
        <v>531.25064344816565</v>
      </c>
      <c r="F98" s="54">
        <v>591.11508001029893</v>
      </c>
    </row>
    <row r="99" spans="1:6" x14ac:dyDescent="0.35">
      <c r="A99" s="59">
        <v>0.10291393296543699</v>
      </c>
      <c r="B99" s="54">
        <v>380.54926420426114</v>
      </c>
      <c r="C99" s="54">
        <v>406.80008303321324</v>
      </c>
      <c r="D99" s="54">
        <v>438.01194281258961</v>
      </c>
      <c r="E99" s="54">
        <v>475.73795366403311</v>
      </c>
      <c r="F99" s="54">
        <v>522.25505128951522</v>
      </c>
    </row>
    <row r="100" spans="1:6" x14ac:dyDescent="0.35">
      <c r="A100" s="59">
        <v>0.107913932965437</v>
      </c>
      <c r="B100" s="54">
        <v>352.30828385175261</v>
      </c>
      <c r="C100" s="54">
        <v>374.29242119560735</v>
      </c>
      <c r="D100" s="55">
        <v>400.07255998819403</v>
      </c>
      <c r="E100" s="54">
        <v>430.72478772745285</v>
      </c>
      <c r="F100" s="54">
        <v>467.77436710164631</v>
      </c>
    </row>
    <row r="101" spans="1:6" x14ac:dyDescent="0.35">
      <c r="A101" s="59">
        <v>0.112913932965437</v>
      </c>
      <c r="B101" s="54">
        <v>327.94940889174228</v>
      </c>
      <c r="C101" s="54">
        <v>346.57986628057824</v>
      </c>
      <c r="D101" s="54">
        <v>368.17158463510071</v>
      </c>
      <c r="E101" s="54">
        <v>393.49154544337057</v>
      </c>
      <c r="F101" s="54">
        <v>423.59662793685112</v>
      </c>
    </row>
    <row r="102" spans="1:6" x14ac:dyDescent="0.35">
      <c r="A102" s="59">
        <v>0.11791393296543699</v>
      </c>
      <c r="B102" s="54">
        <v>306.72506804928497</v>
      </c>
      <c r="C102" s="54">
        <v>322.67578152389422</v>
      </c>
      <c r="D102" s="54">
        <v>340.97516084336445</v>
      </c>
      <c r="E102" s="54">
        <v>362.1831771621338</v>
      </c>
      <c r="F102" s="54">
        <v>387.05318209622072</v>
      </c>
    </row>
    <row r="113" ht="13.5" customHeight="1" x14ac:dyDescent="0.35"/>
  </sheetData>
  <mergeCells count="9">
    <mergeCell ref="A67:G67"/>
    <mergeCell ref="A74:G74"/>
    <mergeCell ref="A81:G81"/>
    <mergeCell ref="A6:G6"/>
    <mergeCell ref="A17:F17"/>
    <mergeCell ref="A26:F26"/>
    <mergeCell ref="A35:F35"/>
    <mergeCell ref="A44:F44"/>
    <mergeCell ref="A53:G53"/>
  </mergeCells>
  <dataValidations count="1">
    <dataValidation type="list" allowBlank="1" showInputMessage="1" showErrorMessage="1" sqref="B3" xr:uid="{5864AC4E-0613-4925-804B-C476BBDF1122}">
      <formula1>"1,2,3"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B8FE-43D3-4F71-B639-1ED1E0FB7D21}">
  <dimension ref="A1:D30"/>
  <sheetViews>
    <sheetView showGridLines="0" zoomScale="76" workbookViewId="0">
      <selection activeCell="H21" sqref="H21"/>
    </sheetView>
  </sheetViews>
  <sheetFormatPr defaultRowHeight="14.5" x14ac:dyDescent="0.35"/>
  <cols>
    <col min="1" max="1" width="41.81640625" customWidth="1"/>
    <col min="2" max="4" width="17.26953125" customWidth="1"/>
  </cols>
  <sheetData>
    <row r="1" spans="1:4" ht="18.5" x14ac:dyDescent="0.45">
      <c r="A1" s="34" t="s">
        <v>221</v>
      </c>
      <c r="B1" s="2"/>
      <c r="C1" s="2"/>
      <c r="D1" s="2"/>
    </row>
    <row r="3" spans="1:4" x14ac:dyDescent="0.35">
      <c r="A3" s="60" t="s">
        <v>213</v>
      </c>
      <c r="B3" s="60"/>
      <c r="C3" s="60"/>
      <c r="D3" s="60"/>
    </row>
    <row r="4" spans="1:4" x14ac:dyDescent="0.35">
      <c r="A4" t="s">
        <v>131</v>
      </c>
      <c r="B4" s="35">
        <v>6.6000000000000003E-2</v>
      </c>
    </row>
    <row r="5" spans="1:4" x14ac:dyDescent="0.35">
      <c r="A5" t="s">
        <v>240</v>
      </c>
      <c r="B5" s="36">
        <v>0.6</v>
      </c>
    </row>
    <row r="6" spans="1:4" x14ac:dyDescent="0.35">
      <c r="A6" t="s">
        <v>132</v>
      </c>
      <c r="B6" s="35">
        <v>7.0000000000000007E-2</v>
      </c>
    </row>
    <row r="7" spans="1:4" x14ac:dyDescent="0.35">
      <c r="A7" s="31" t="s">
        <v>214</v>
      </c>
      <c r="B7" s="38">
        <f>B4+B5*B6</f>
        <v>0.10800000000000001</v>
      </c>
    </row>
    <row r="9" spans="1:4" x14ac:dyDescent="0.35">
      <c r="A9" s="60" t="s">
        <v>215</v>
      </c>
      <c r="B9" s="60"/>
      <c r="C9" s="60"/>
      <c r="D9" s="60"/>
    </row>
    <row r="10" spans="1:4" x14ac:dyDescent="0.35">
      <c r="A10" t="s">
        <v>133</v>
      </c>
      <c r="B10" s="97">
        <f>'Historical FS'!K25</f>
        <v>158.31</v>
      </c>
    </row>
    <row r="11" spans="1:4" x14ac:dyDescent="0.35">
      <c r="A11" t="s">
        <v>239</v>
      </c>
      <c r="B11" s="97">
        <f>AVERAGE('Historical FS'!J50:K50)</f>
        <v>805.505</v>
      </c>
    </row>
    <row r="12" spans="1:4" x14ac:dyDescent="0.35">
      <c r="A12" t="s">
        <v>238</v>
      </c>
      <c r="B12" s="13">
        <f>B10/B11</f>
        <v>0.19653509289203669</v>
      </c>
    </row>
    <row r="13" spans="1:4" x14ac:dyDescent="0.35">
      <c r="A13" t="s">
        <v>134</v>
      </c>
      <c r="B13" s="35">
        <v>7.4999999999999997E-2</v>
      </c>
    </row>
    <row r="14" spans="1:4" x14ac:dyDescent="0.35">
      <c r="A14" t="s">
        <v>135</v>
      </c>
      <c r="B14" s="93">
        <f>DCF!B48</f>
        <v>0.25</v>
      </c>
    </row>
    <row r="15" spans="1:4" x14ac:dyDescent="0.35">
      <c r="A15" s="31" t="s">
        <v>216</v>
      </c>
      <c r="B15" s="38">
        <f>B13*(1-B14)</f>
        <v>5.6249999999999994E-2</v>
      </c>
      <c r="C15" s="39"/>
    </row>
    <row r="17" spans="1:4" x14ac:dyDescent="0.35">
      <c r="A17" s="60" t="s">
        <v>217</v>
      </c>
      <c r="B17" s="60"/>
      <c r="C17" s="60"/>
      <c r="D17" s="60"/>
    </row>
    <row r="18" spans="1:4" x14ac:dyDescent="0.35">
      <c r="A18" t="s">
        <v>228</v>
      </c>
      <c r="B18" s="90">
        <f>DCF!B7</f>
        <v>1382.65</v>
      </c>
    </row>
    <row r="19" spans="1:4" x14ac:dyDescent="0.35">
      <c r="A19" t="s">
        <v>136</v>
      </c>
      <c r="B19" s="91">
        <f>DCF!B8</f>
        <v>192.8314251618269</v>
      </c>
    </row>
    <row r="20" spans="1:4" x14ac:dyDescent="0.35">
      <c r="A20" t="s">
        <v>222</v>
      </c>
      <c r="B20" s="92">
        <f>B18*B19</f>
        <v>266618.37</v>
      </c>
    </row>
    <row r="21" spans="1:4" x14ac:dyDescent="0.35">
      <c r="A21" t="s">
        <v>223</v>
      </c>
      <c r="B21" s="92">
        <f>DCF!B10</f>
        <v>444.16</v>
      </c>
    </row>
    <row r="22" spans="1:4" x14ac:dyDescent="0.35">
      <c r="A22" t="s">
        <v>66</v>
      </c>
      <c r="B22" s="92">
        <f>DCF!B11</f>
        <v>1340.87</v>
      </c>
    </row>
    <row r="23" spans="1:4" x14ac:dyDescent="0.35">
      <c r="A23" t="s">
        <v>224</v>
      </c>
      <c r="B23" s="92">
        <f>B21-B22</f>
        <v>-896.70999999999981</v>
      </c>
    </row>
    <row r="24" spans="1:4" x14ac:dyDescent="0.35">
      <c r="A24" t="s">
        <v>227</v>
      </c>
      <c r="B24" s="92">
        <f>B20+B21</f>
        <v>267062.52999999997</v>
      </c>
    </row>
    <row r="26" spans="1:4" x14ac:dyDescent="0.35">
      <c r="A26" s="60" t="s">
        <v>218</v>
      </c>
      <c r="B26" s="60"/>
      <c r="C26" s="60"/>
      <c r="D26" s="60"/>
    </row>
    <row r="27" spans="1:4" x14ac:dyDescent="0.35">
      <c r="A27" s="37" t="s">
        <v>137</v>
      </c>
      <c r="B27" s="37" t="s">
        <v>138</v>
      </c>
      <c r="C27" s="37" t="s">
        <v>139</v>
      </c>
      <c r="D27" s="37" t="s">
        <v>140</v>
      </c>
    </row>
    <row r="28" spans="1:4" x14ac:dyDescent="0.35">
      <c r="A28" t="s">
        <v>141</v>
      </c>
      <c r="B28" s="29">
        <f>B20/$B$24</f>
        <v>0.99833686889733286</v>
      </c>
      <c r="C28" s="13">
        <f>B7</f>
        <v>0.10800000000000001</v>
      </c>
      <c r="D28" s="13">
        <f>B28*C28</f>
        <v>0.10782038184091196</v>
      </c>
    </row>
    <row r="29" spans="1:4" x14ac:dyDescent="0.35">
      <c r="A29" t="s">
        <v>142</v>
      </c>
      <c r="B29" s="29">
        <f>B21/$B$24</f>
        <v>1.6631311026672295E-3</v>
      </c>
      <c r="C29" s="13">
        <f>B15</f>
        <v>5.6249999999999994E-2</v>
      </c>
      <c r="D29" s="13">
        <f>B29*C29</f>
        <v>9.3551124525031656E-5</v>
      </c>
    </row>
    <row r="30" spans="1:4" x14ac:dyDescent="0.35">
      <c r="A30" s="31" t="s">
        <v>219</v>
      </c>
      <c r="B30" s="38">
        <f>SUM(D28:D29)</f>
        <v>0.10791393296543698</v>
      </c>
    </row>
  </sheetData>
  <mergeCells count="4">
    <mergeCell ref="A3:D3"/>
    <mergeCell ref="A9:D9"/>
    <mergeCell ref="A17:D17"/>
    <mergeCell ref="A26:D2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1AA6-B6A2-47C7-ACA0-BB88B4120693}">
  <dimension ref="A2:G14"/>
  <sheetViews>
    <sheetView showGridLines="0" workbookViewId="0">
      <selection activeCell="A16" sqref="A16"/>
    </sheetView>
  </sheetViews>
  <sheetFormatPr defaultRowHeight="14.5" x14ac:dyDescent="0.35"/>
  <cols>
    <col min="1" max="1" width="37.26953125" bestFit="1" customWidth="1"/>
    <col min="2" max="7" width="6.7265625" bestFit="1" customWidth="1"/>
  </cols>
  <sheetData>
    <row r="2" spans="1:7" x14ac:dyDescent="0.35">
      <c r="A2" s="60" t="s">
        <v>23</v>
      </c>
      <c r="B2" s="60"/>
      <c r="C2" s="60"/>
      <c r="D2" s="60"/>
      <c r="E2" s="60"/>
      <c r="F2" s="60"/>
      <c r="G2" s="60"/>
    </row>
    <row r="3" spans="1:7" x14ac:dyDescent="0.35">
      <c r="A3" s="32" t="s">
        <v>210</v>
      </c>
      <c r="B3" s="32" t="s">
        <v>184</v>
      </c>
      <c r="C3" s="32" t="s">
        <v>185</v>
      </c>
      <c r="D3" s="32" t="s">
        <v>186</v>
      </c>
      <c r="E3" s="32" t="s">
        <v>187</v>
      </c>
      <c r="F3" s="32" t="s">
        <v>188</v>
      </c>
      <c r="G3" s="32" t="s">
        <v>189</v>
      </c>
    </row>
    <row r="4" spans="1:7" x14ac:dyDescent="0.35">
      <c r="A4" t="s">
        <v>3</v>
      </c>
      <c r="B4" s="92">
        <f>'Profit &amp; Loss'!C4</f>
        <v>11292.27</v>
      </c>
      <c r="C4" s="92">
        <f>'Profit &amp; Loss'!D4</f>
        <v>12368.9</v>
      </c>
      <c r="D4" s="92">
        <f>'Profit &amp; Loss'!E4</f>
        <v>13350.03</v>
      </c>
      <c r="E4" s="92">
        <f>'Profit &amp; Loss'!F4</f>
        <v>14740.59</v>
      </c>
      <c r="F4" s="92">
        <f>'Profit &amp; Loss'!G4</f>
        <v>16896.96</v>
      </c>
      <c r="G4" s="92">
        <f>'Profit &amp; Loss'!K4</f>
        <v>23154.6</v>
      </c>
    </row>
    <row r="5" spans="1:7" x14ac:dyDescent="0.35">
      <c r="A5" t="s">
        <v>190</v>
      </c>
      <c r="B5" s="92">
        <f>'Profit &amp; Loss'!C4-'Profit &amp; Loss'!B4</f>
        <v>1282.67</v>
      </c>
      <c r="C5" s="92">
        <f>'Profit &amp; Loss'!D4-'Profit &amp; Loss'!C4</f>
        <v>1076.6299999999992</v>
      </c>
      <c r="D5" s="92">
        <f>'Profit &amp; Loss'!E4-'Profit &amp; Loss'!D4</f>
        <v>981.13000000000102</v>
      </c>
      <c r="E5" s="92">
        <f>'Profit &amp; Loss'!F4-'Profit &amp; Loss'!E4</f>
        <v>1390.5599999999995</v>
      </c>
      <c r="F5" s="92">
        <f>'Profit &amp; Loss'!G4-'Profit &amp; Loss'!F4</f>
        <v>2156.369999999999</v>
      </c>
      <c r="G5" s="92">
        <f>'Profit &amp; Loss'!K4-'Profit &amp; Loss'!J4</f>
        <v>2953.0399999999972</v>
      </c>
    </row>
    <row r="6" spans="1:7" x14ac:dyDescent="0.35">
      <c r="A6" t="s">
        <v>191</v>
      </c>
      <c r="B6" s="92">
        <f>'Balance Sheet'!C16</f>
        <v>-1455.4299999999998</v>
      </c>
      <c r="C6" s="92">
        <f>'Balance Sheet'!D16</f>
        <v>-2127.9900000000002</v>
      </c>
      <c r="D6" s="92">
        <f>'Balance Sheet'!E16</f>
        <v>-2114.9299999999998</v>
      </c>
      <c r="E6" s="92">
        <f>'Balance Sheet'!F16</f>
        <v>-1802.04</v>
      </c>
      <c r="F6" s="92">
        <f>'Balance Sheet'!G16</f>
        <v>-1449.9099999999999</v>
      </c>
      <c r="G6" s="92">
        <f>'Balance Sheet'!K16</f>
        <v>-1749.6000000000004</v>
      </c>
    </row>
    <row r="7" spans="1:7" x14ac:dyDescent="0.35">
      <c r="A7" t="s">
        <v>192</v>
      </c>
      <c r="B7" s="92">
        <f>'Balance Sheet'!C16-'Balance Sheet'!B16</f>
        <v>-221.94999999999982</v>
      </c>
      <c r="C7" s="92">
        <f>'Balance Sheet'!D16-'Balance Sheet'!C16</f>
        <v>-672.5600000000004</v>
      </c>
      <c r="D7" s="92">
        <f>'Balance Sheet'!E16-'Balance Sheet'!D16</f>
        <v>13.0600000000004</v>
      </c>
      <c r="E7" s="92">
        <f>'Balance Sheet'!F16-'Balance Sheet'!E16</f>
        <v>312.88999999999987</v>
      </c>
      <c r="F7" s="92">
        <f>'Balance Sheet'!G16-'Balance Sheet'!F16</f>
        <v>352.13000000000011</v>
      </c>
      <c r="G7" s="92">
        <f>'Balance Sheet'!K16-'Balance Sheet'!J16</f>
        <v>318.17000000000007</v>
      </c>
    </row>
    <row r="8" spans="1:7" x14ac:dyDescent="0.35">
      <c r="A8" s="2" t="s">
        <v>193</v>
      </c>
      <c r="B8" s="33">
        <f t="shared" ref="B8:G8" si="0">B7/B5</f>
        <v>-0.17303749210630934</v>
      </c>
      <c r="C8" s="33">
        <f t="shared" si="0"/>
        <v>-0.62469000492276905</v>
      </c>
      <c r="D8" s="33">
        <f t="shared" si="0"/>
        <v>1.3311182004423865E-2</v>
      </c>
      <c r="E8" s="33">
        <f t="shared" si="0"/>
        <v>0.22501006788631916</v>
      </c>
      <c r="F8" s="33">
        <f t="shared" si="0"/>
        <v>0.16329757880141177</v>
      </c>
      <c r="G8" s="33">
        <f t="shared" si="0"/>
        <v>0.10774320700024394</v>
      </c>
    </row>
    <row r="10" spans="1:7" x14ac:dyDescent="0.35">
      <c r="A10" s="31" t="s">
        <v>235</v>
      </c>
      <c r="B10" s="30">
        <f>AVERAGE(B8:G8)</f>
        <v>-4.8060910222779953E-2</v>
      </c>
    </row>
    <row r="11" spans="1:7" x14ac:dyDescent="0.35">
      <c r="B11" s="29"/>
    </row>
    <row r="14" spans="1:7" x14ac:dyDescent="0.35">
      <c r="C14" s="12"/>
    </row>
  </sheetData>
  <mergeCells count="1"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02E9-4D7F-4AFC-8DCD-1EB53BDDED61}">
  <dimension ref="A2:H18"/>
  <sheetViews>
    <sheetView showGridLines="0" zoomScaleNormal="100" workbookViewId="0">
      <pane xSplit="1" topLeftCell="B1" activePane="topRight" state="frozen"/>
      <selection pane="topRight" activeCell="B19" sqref="B19"/>
    </sheetView>
  </sheetViews>
  <sheetFormatPr defaultRowHeight="14.5" x14ac:dyDescent="0.35"/>
  <cols>
    <col min="1" max="1" width="45.453125" customWidth="1"/>
    <col min="2" max="8" width="16" customWidth="1"/>
  </cols>
  <sheetData>
    <row r="2" spans="1:8" x14ac:dyDescent="0.35">
      <c r="A2" s="28" t="s">
        <v>194</v>
      </c>
      <c r="B2" s="28"/>
      <c r="C2" s="28"/>
      <c r="D2" s="28"/>
      <c r="E2" s="28"/>
      <c r="F2" s="28"/>
      <c r="G2" s="28"/>
      <c r="H2" s="28"/>
    </row>
    <row r="3" spans="1:8" x14ac:dyDescent="0.35">
      <c r="A3" s="32" t="s">
        <v>210</v>
      </c>
      <c r="B3" s="32" t="s">
        <v>184</v>
      </c>
      <c r="C3" s="32" t="s">
        <v>185</v>
      </c>
      <c r="D3" s="32" t="s">
        <v>186</v>
      </c>
      <c r="E3" s="32" t="s">
        <v>187</v>
      </c>
      <c r="F3" s="32" t="s">
        <v>188</v>
      </c>
      <c r="G3" s="32" t="s">
        <v>195</v>
      </c>
      <c r="H3" s="32" t="s">
        <v>189</v>
      </c>
    </row>
    <row r="4" spans="1:8" x14ac:dyDescent="0.35">
      <c r="A4" t="s">
        <v>196</v>
      </c>
      <c r="B4" s="92">
        <f>'Balance Sheet'!C10</f>
        <v>2400.62</v>
      </c>
      <c r="C4" s="92">
        <f>'Balance Sheet'!D10</f>
        <v>2341.4499999999998</v>
      </c>
      <c r="D4" s="92">
        <f>'Balance Sheet'!E10</f>
        <v>2179.41</v>
      </c>
      <c r="E4" s="92">
        <f>'Balance Sheet'!F10</f>
        <v>2994.67</v>
      </c>
      <c r="F4" s="92">
        <f>'Balance Sheet'!G10</f>
        <v>3043.7</v>
      </c>
      <c r="G4" s="92">
        <f>'Balance Sheet'!J10</f>
        <v>5473.61</v>
      </c>
      <c r="H4" s="92">
        <f>'Balance Sheet'!K10</f>
        <v>6290.42</v>
      </c>
    </row>
    <row r="5" spans="1:8" x14ac:dyDescent="0.35">
      <c r="A5" t="s">
        <v>197</v>
      </c>
      <c r="B5" s="92">
        <f>'Balance Sheet'!C10-'Balance Sheet'!B10</f>
        <v>-215.55999999999995</v>
      </c>
      <c r="C5" s="92">
        <f>'Balance Sheet'!D10-'Balance Sheet'!C10</f>
        <v>-59.170000000000073</v>
      </c>
      <c r="D5" s="92">
        <f>'Balance Sheet'!E10-'Balance Sheet'!D10</f>
        <v>-162.03999999999996</v>
      </c>
      <c r="E5" s="92">
        <f>'Balance Sheet'!F10-'Balance Sheet'!E10</f>
        <v>815.26000000000022</v>
      </c>
      <c r="F5" s="92">
        <f>'Balance Sheet'!G10-'Balance Sheet'!F10</f>
        <v>49.029999999999745</v>
      </c>
      <c r="G5" s="92">
        <f>'Balance Sheet'!J10-'Balance Sheet'!I10</f>
        <v>2013.3599999999997</v>
      </c>
      <c r="H5" s="92">
        <f>'Balance Sheet'!K10-'Balance Sheet'!J10</f>
        <v>816.8100000000004</v>
      </c>
    </row>
    <row r="6" spans="1:8" x14ac:dyDescent="0.35">
      <c r="A6" t="s">
        <v>198</v>
      </c>
      <c r="B6" s="92">
        <f>'Balance Sheet'!C11</f>
        <v>105.2</v>
      </c>
      <c r="C6" s="92">
        <f>'Balance Sheet'!D11</f>
        <v>143.30000000000001</v>
      </c>
      <c r="D6" s="92">
        <f>'Balance Sheet'!E11</f>
        <v>638.58000000000004</v>
      </c>
      <c r="E6" s="92">
        <f>'Balance Sheet'!F11</f>
        <v>246.23</v>
      </c>
      <c r="F6" s="92">
        <f>'Balance Sheet'!G11</f>
        <v>358.36</v>
      </c>
      <c r="G6" s="92">
        <f>'Balance Sheet'!J11</f>
        <v>1172.56</v>
      </c>
      <c r="H6" s="92">
        <f>'Balance Sheet'!K11</f>
        <v>506.98</v>
      </c>
    </row>
    <row r="7" spans="1:8" x14ac:dyDescent="0.35">
      <c r="A7" t="s">
        <v>199</v>
      </c>
      <c r="B7" s="92">
        <f>'Balance Sheet'!C11-'Balance Sheet'!B11</f>
        <v>11.040000000000006</v>
      </c>
      <c r="C7" s="92">
        <f>'Balance Sheet'!D11-'Balance Sheet'!C11</f>
        <v>38.100000000000009</v>
      </c>
      <c r="D7" s="92">
        <f>'Balance Sheet'!E11-'Balance Sheet'!D11</f>
        <v>495.28000000000003</v>
      </c>
      <c r="E7" s="92">
        <f>'Balance Sheet'!F11-'Balance Sheet'!E11</f>
        <v>-392.35</v>
      </c>
      <c r="F7" s="92">
        <f>'Balance Sheet'!G11-'Balance Sheet'!F11</f>
        <v>112.13000000000002</v>
      </c>
      <c r="G7" s="92">
        <f>'Balance Sheet'!J11-'Balance Sheet'!I11</f>
        <v>-569.15000000000009</v>
      </c>
      <c r="H7" s="92">
        <f>'Balance Sheet'!K11-'Balance Sheet'!J11</f>
        <v>-665.57999999999993</v>
      </c>
    </row>
    <row r="8" spans="1:8" x14ac:dyDescent="0.35">
      <c r="A8" t="s">
        <v>7</v>
      </c>
      <c r="B8" s="92">
        <f>'Profit &amp; Loss'!C8</f>
        <v>335.67</v>
      </c>
      <c r="C8" s="92">
        <f>'Profit &amp; Loss'!D8</f>
        <v>370.15</v>
      </c>
      <c r="D8" s="92">
        <f>'Profit &amp; Loss'!E8</f>
        <v>370.38</v>
      </c>
      <c r="E8" s="92">
        <f>'Profit &amp; Loss'!F8</f>
        <v>391.02</v>
      </c>
      <c r="F8" s="92">
        <f>'Profit &amp; Loss'!G8</f>
        <v>403.01</v>
      </c>
      <c r="G8" s="92">
        <f>'Profit &amp; Loss'!J8</f>
        <v>539.91999999999996</v>
      </c>
      <c r="H8" s="92">
        <f>'Profit &amp; Loss'!K8</f>
        <v>699.23</v>
      </c>
    </row>
    <row r="9" spans="1:8" x14ac:dyDescent="0.35">
      <c r="A9" s="2" t="s">
        <v>203</v>
      </c>
      <c r="B9" s="98">
        <f t="shared" ref="B9:H9" si="0">B5+B7+B8</f>
        <v>131.15000000000009</v>
      </c>
      <c r="C9" s="98">
        <f t="shared" si="0"/>
        <v>349.07999999999993</v>
      </c>
      <c r="D9" s="98">
        <f t="shared" si="0"/>
        <v>703.62000000000012</v>
      </c>
      <c r="E9" s="98">
        <f t="shared" si="0"/>
        <v>813.93000000000018</v>
      </c>
      <c r="F9" s="98">
        <f t="shared" si="0"/>
        <v>564.16999999999973</v>
      </c>
      <c r="G9" s="98">
        <f t="shared" si="0"/>
        <v>1984.1299999999997</v>
      </c>
      <c r="H9" s="98">
        <f t="shared" si="0"/>
        <v>850.46000000000049</v>
      </c>
    </row>
    <row r="10" spans="1:8" x14ac:dyDescent="0.35">
      <c r="A10" t="s">
        <v>3</v>
      </c>
      <c r="B10" s="92">
        <f>'Profit &amp; Loss'!C4</f>
        <v>11292.27</v>
      </c>
      <c r="C10" s="92">
        <f>'Profit &amp; Loss'!D4</f>
        <v>12368.9</v>
      </c>
      <c r="D10" s="92">
        <f>'Profit &amp; Loss'!E4</f>
        <v>13350.03</v>
      </c>
      <c r="E10" s="92">
        <f>'Profit &amp; Loss'!F4</f>
        <v>14740.59</v>
      </c>
      <c r="F10" s="92">
        <f>'Profit &amp; Loss'!G4</f>
        <v>16896.96</v>
      </c>
      <c r="G10" s="92">
        <f>'Profit &amp; Loss'!J4</f>
        <v>20201.560000000001</v>
      </c>
      <c r="H10" s="92">
        <f>'Profit &amp; Loss'!K4</f>
        <v>23154.6</v>
      </c>
    </row>
    <row r="11" spans="1:8" x14ac:dyDescent="0.35">
      <c r="A11" s="2" t="s">
        <v>200</v>
      </c>
      <c r="B11" s="33">
        <f t="shared" ref="B11:H11" si="1">B9/B10</f>
        <v>1.1614139583980908E-2</v>
      </c>
      <c r="C11" s="33">
        <f t="shared" si="1"/>
        <v>2.8222396494433616E-2</v>
      </c>
      <c r="D11" s="33">
        <f t="shared" si="1"/>
        <v>5.270549953820329E-2</v>
      </c>
      <c r="E11" s="33">
        <f t="shared" si="1"/>
        <v>5.521692143937252E-2</v>
      </c>
      <c r="F11" s="33">
        <f t="shared" si="1"/>
        <v>3.3388846277673606E-2</v>
      </c>
      <c r="G11" s="33">
        <f t="shared" si="1"/>
        <v>9.821667237579669E-2</v>
      </c>
      <c r="H11" s="33">
        <f t="shared" si="1"/>
        <v>3.672963471621192E-2</v>
      </c>
    </row>
    <row r="13" spans="1:8" x14ac:dyDescent="0.35">
      <c r="A13" s="31" t="s">
        <v>220</v>
      </c>
      <c r="B13" s="30">
        <f>AVERAGE(B11:H11)</f>
        <v>4.5156301489381788E-2</v>
      </c>
    </row>
    <row r="14" spans="1:8" x14ac:dyDescent="0.35">
      <c r="A14" s="31" t="s">
        <v>236</v>
      </c>
      <c r="B14" s="30">
        <f>AVERAGE(B11:F11,H11)</f>
        <v>3.6312906341645974E-2</v>
      </c>
    </row>
    <row r="15" spans="1:8" x14ac:dyDescent="0.35">
      <c r="A15" s="31" t="s">
        <v>237</v>
      </c>
      <c r="B15" s="30">
        <f>DCF!B32</f>
        <v>3.5999999999999997E-2</v>
      </c>
    </row>
    <row r="18" ht="15" customHeigh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D540-5E2E-450A-9B87-D25935A02078}">
  <dimension ref="A2:R103"/>
  <sheetViews>
    <sheetView showGridLines="0" zoomScale="7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15" sqref="Q15"/>
    </sheetView>
  </sheetViews>
  <sheetFormatPr defaultRowHeight="14.5" x14ac:dyDescent="0.35"/>
  <cols>
    <col min="1" max="1" width="2" bestFit="1" customWidth="1"/>
    <col min="2" max="2" width="26.90625" bestFit="1" customWidth="1"/>
    <col min="3" max="11" width="10.54296875" bestFit="1" customWidth="1"/>
    <col min="12" max="12" width="12" bestFit="1" customWidth="1"/>
  </cols>
  <sheetData>
    <row r="2" spans="1:14" x14ac:dyDescent="0.35">
      <c r="B2" s="61" t="str">
        <f>"Historical Financial Statement - "&amp;'Data Sheet'!B1</f>
        <v>Historical Financial Statement - NESTLE INDIA LTD</v>
      </c>
      <c r="C2" s="61"/>
      <c r="D2" s="61"/>
      <c r="E2" s="61"/>
      <c r="F2" s="61"/>
      <c r="G2" s="61"/>
      <c r="H2" s="61"/>
      <c r="I2" s="61"/>
      <c r="J2" s="61"/>
      <c r="K2" s="61"/>
    </row>
    <row r="3" spans="1:14" x14ac:dyDescent="0.35">
      <c r="B3" s="57" t="s">
        <v>69</v>
      </c>
      <c r="C3" s="58">
        <f>'Data Sheet'!C16</f>
        <v>43465</v>
      </c>
      <c r="D3" s="58">
        <f>'Data Sheet'!D16</f>
        <v>43830</v>
      </c>
      <c r="E3" s="58">
        <f>'Data Sheet'!E16</f>
        <v>44196</v>
      </c>
      <c r="F3" s="58">
        <f>'Data Sheet'!F16</f>
        <v>44561</v>
      </c>
      <c r="G3" s="58">
        <f>'Data Sheet'!G16</f>
        <v>44926</v>
      </c>
      <c r="H3" s="58">
        <f>'Data Sheet'!H16</f>
        <v>45291</v>
      </c>
      <c r="I3" s="58">
        <f>'Data Sheet'!I16</f>
        <v>45382</v>
      </c>
      <c r="J3" s="58">
        <f>'Data Sheet'!J16</f>
        <v>45747</v>
      </c>
      <c r="K3" s="58">
        <f>'Data Sheet'!K16</f>
        <v>46112</v>
      </c>
    </row>
    <row r="4" spans="1:14" x14ac:dyDescent="0.35">
      <c r="A4" t="s">
        <v>71</v>
      </c>
      <c r="B4" s="15" t="s">
        <v>70</v>
      </c>
      <c r="C4" s="16"/>
      <c r="D4" s="16"/>
      <c r="E4" s="16"/>
      <c r="F4" s="16"/>
      <c r="G4" s="16"/>
      <c r="H4" s="16"/>
      <c r="I4" s="16"/>
      <c r="J4" s="16"/>
      <c r="K4" s="16"/>
    </row>
    <row r="5" spans="1:14" x14ac:dyDescent="0.35">
      <c r="B5" t="s">
        <v>3</v>
      </c>
      <c r="C5" s="17">
        <f>IFERROR('Data Sheet'!C17,0)</f>
        <v>11292.27</v>
      </c>
      <c r="D5" s="17">
        <f>IFERROR('Data Sheet'!D17,0)</f>
        <v>12368.9</v>
      </c>
      <c r="E5" s="17">
        <f>IFERROR('Data Sheet'!E17,0)</f>
        <v>13350.03</v>
      </c>
      <c r="F5" s="17">
        <f>IFERROR('Data Sheet'!F17,0)</f>
        <v>14740.59</v>
      </c>
      <c r="G5" s="17">
        <f>IFERROR('Data Sheet'!G17,0)</f>
        <v>16896.96</v>
      </c>
      <c r="H5" s="17">
        <f>IFERROR('Data Sheet'!H17,0)</f>
        <v>19126.3</v>
      </c>
      <c r="I5" s="17">
        <f>IFERROR('Data Sheet'!I17,0)</f>
        <v>24393.89</v>
      </c>
      <c r="J5" s="17">
        <f>IFERROR('Data Sheet'!J17,0)</f>
        <v>20201.560000000001</v>
      </c>
      <c r="K5" s="17">
        <f>IFERROR('Data Sheet'!K17,0)</f>
        <v>23154.6</v>
      </c>
    </row>
    <row r="6" spans="1:14" x14ac:dyDescent="0.35">
      <c r="B6" s="18" t="s">
        <v>16</v>
      </c>
      <c r="C6" s="22" t="s">
        <v>128</v>
      </c>
      <c r="D6" s="19">
        <f>IFERROR(D5/C5-1,0)</f>
        <v>9.5342211973323376E-2</v>
      </c>
      <c r="E6" s="19">
        <f t="shared" ref="E6:H6" si="0">IFERROR(E5/D5-1,0)</f>
        <v>7.932233262456645E-2</v>
      </c>
      <c r="F6" s="19">
        <f t="shared" si="0"/>
        <v>0.10416156368187934</v>
      </c>
      <c r="G6" s="19">
        <f t="shared" si="0"/>
        <v>0.14628790299438488</v>
      </c>
      <c r="H6" s="19">
        <f t="shared" si="0"/>
        <v>0.13193734257523237</v>
      </c>
      <c r="I6" s="19">
        <f t="shared" ref="I6:K6" si="1">I5/H5-1</f>
        <v>0.27541082174806419</v>
      </c>
      <c r="J6" s="19">
        <f t="shared" si="1"/>
        <v>-0.1718598386727167</v>
      </c>
      <c r="K6" s="19">
        <f t="shared" si="1"/>
        <v>0.14617880995329058</v>
      </c>
    </row>
    <row r="8" spans="1:14" x14ac:dyDescent="0.35">
      <c r="B8" t="s">
        <v>72</v>
      </c>
      <c r="C8" s="20">
        <f>IFERROR(SUM('Data Sheet'!C18,'Data Sheet'!C20,'Data Sheet'!C21,'Data Sheet'!C22)-1*'Data Sheet'!C19,0)</f>
        <v>6241.4</v>
      </c>
      <c r="D8" s="20">
        <f>IFERROR(SUM('Data Sheet'!D18,'Data Sheet'!D20,'Data Sheet'!D21,'Data Sheet'!D22)-1*'Data Sheet'!D19,0)</f>
        <v>7003.97</v>
      </c>
      <c r="E8" s="20">
        <f>IFERROR(SUM('Data Sheet'!E18,'Data Sheet'!E20,'Data Sheet'!E21,'Data Sheet'!E22)-1*'Data Sheet'!E19,0)</f>
        <v>7687.4</v>
      </c>
      <c r="F8" s="20">
        <f>IFERROR(SUM('Data Sheet'!F18,'Data Sheet'!F20,'Data Sheet'!F21,'Data Sheet'!F22)-1*'Data Sheet'!F19,0)</f>
        <v>8521.1500000000015</v>
      </c>
      <c r="G8" s="20">
        <f>IFERROR(SUM('Data Sheet'!G18,'Data Sheet'!G20,'Data Sheet'!G21,'Data Sheet'!G22)-1*'Data Sheet'!G19,0)</f>
        <v>10221.700000000001</v>
      </c>
      <c r="H8" s="20">
        <f>IFERROR(SUM('Data Sheet'!H18,'Data Sheet'!H20,'Data Sheet'!H21,'Data Sheet'!H22)-1*'Data Sheet'!H19,0)</f>
        <v>10281.89</v>
      </c>
      <c r="I8" s="20">
        <f>IFERROR(SUM('Data Sheet'!I18,'Data Sheet'!I20,'Data Sheet'!I21,'Data Sheet'!I22)-1*'Data Sheet'!I19,0)</f>
        <v>14101.72</v>
      </c>
      <c r="J8" s="20">
        <f>IFERROR(SUM('Data Sheet'!J18,'Data Sheet'!J20,'Data Sheet'!J21,'Data Sheet'!J22)-1*'Data Sheet'!J19,0)</f>
        <v>11692.86</v>
      </c>
      <c r="K8" s="20">
        <f>IFERROR(SUM('Data Sheet'!K18,'Data Sheet'!K20,'Data Sheet'!K21,'Data Sheet'!K22)-1*'Data Sheet'!K19,0)</f>
        <v>13627.64</v>
      </c>
    </row>
    <row r="9" spans="1:14" x14ac:dyDescent="0.35">
      <c r="B9" s="18" t="s">
        <v>73</v>
      </c>
      <c r="C9" s="19">
        <f t="shared" ref="C9:G9" si="2">C8/C5</f>
        <v>0.55271437895126485</v>
      </c>
      <c r="D9" s="19">
        <f t="shared" si="2"/>
        <v>0.5662564981526248</v>
      </c>
      <c r="E9" s="19">
        <f t="shared" si="2"/>
        <v>0.57583391198371836</v>
      </c>
      <c r="F9" s="19">
        <f t="shared" si="2"/>
        <v>0.5780738762831068</v>
      </c>
      <c r="G9" s="19">
        <f t="shared" si="2"/>
        <v>0.60494313770050956</v>
      </c>
      <c r="H9" s="19">
        <f>H8/H5</f>
        <v>0.53757862210673257</v>
      </c>
      <c r="I9" s="19">
        <f t="shared" ref="I9:K9" si="3">I8/I5</f>
        <v>0.57808410220756101</v>
      </c>
      <c r="J9" s="19">
        <f t="shared" si="3"/>
        <v>0.57880975528622536</v>
      </c>
      <c r="K9" s="19">
        <f t="shared" si="3"/>
        <v>0.58855000734195362</v>
      </c>
      <c r="N9" s="11"/>
    </row>
    <row r="11" spans="1:14" x14ac:dyDescent="0.35">
      <c r="B11" s="2" t="s">
        <v>74</v>
      </c>
      <c r="C11" s="25">
        <f t="shared" ref="C11:G11" si="4">C5-C8</f>
        <v>5050.8700000000008</v>
      </c>
      <c r="D11" s="25">
        <f t="shared" si="4"/>
        <v>5364.9299999999994</v>
      </c>
      <c r="E11" s="25">
        <f t="shared" si="4"/>
        <v>5662.630000000001</v>
      </c>
      <c r="F11" s="25">
        <f t="shared" si="4"/>
        <v>6219.4399999999987</v>
      </c>
      <c r="G11" s="25">
        <f t="shared" si="4"/>
        <v>6675.2599999999984</v>
      </c>
      <c r="H11" s="25">
        <f>H5-H8</f>
        <v>8844.41</v>
      </c>
      <c r="I11" s="25">
        <f t="shared" ref="I11:K11" si="5">I5-I8</f>
        <v>10292.17</v>
      </c>
      <c r="J11" s="25">
        <f t="shared" si="5"/>
        <v>8508.7000000000007</v>
      </c>
      <c r="K11" s="25">
        <f t="shared" si="5"/>
        <v>9526.9599999999991</v>
      </c>
    </row>
    <row r="13" spans="1:14" x14ac:dyDescent="0.35">
      <c r="B13" t="s">
        <v>76</v>
      </c>
      <c r="C13" s="20">
        <f>IFERROR(SUM('Data Sheet'!C23:C24),0)</f>
        <v>2433.2200000000003</v>
      </c>
      <c r="D13" s="20">
        <f>IFERROR(SUM('Data Sheet'!D23:D24),0)</f>
        <v>2439.0500000000002</v>
      </c>
      <c r="E13" s="20">
        <f>IFERROR(SUM('Data Sheet'!E23:E24),0)</f>
        <v>2461.13</v>
      </c>
      <c r="F13" s="20">
        <f>IFERROR(SUM('Data Sheet'!F23:F24),0)</f>
        <v>2657.04</v>
      </c>
      <c r="G13" s="20">
        <f>IFERROR(SUM('Data Sheet'!G23:G24),0)</f>
        <v>2968.9700000000003</v>
      </c>
      <c r="H13" s="20">
        <f>IFERROR(SUM('Data Sheet'!H23:H24),0)</f>
        <v>4373.42</v>
      </c>
      <c r="I13" s="20">
        <f>IFERROR(SUM('Data Sheet'!I23:I24),0)</f>
        <v>4449.05</v>
      </c>
      <c r="J13" s="20">
        <f>IFERROR(SUM('Data Sheet'!J23:J24),0)</f>
        <v>3737.37</v>
      </c>
      <c r="K13" s="20">
        <f>IFERROR(SUM('Data Sheet'!K23:K24),0)</f>
        <v>4220</v>
      </c>
    </row>
    <row r="14" spans="1:14" x14ac:dyDescent="0.35">
      <c r="B14" s="18" t="s">
        <v>77</v>
      </c>
      <c r="C14" s="19">
        <f t="shared" ref="C14:G14" si="6">C13/C5</f>
        <v>0.21547660479248196</v>
      </c>
      <c r="D14" s="19">
        <f t="shared" si="6"/>
        <v>0.19719215128265247</v>
      </c>
      <c r="E14" s="19">
        <f t="shared" si="6"/>
        <v>0.18435389283769399</v>
      </c>
      <c r="F14" s="19">
        <f t="shared" si="6"/>
        <v>0.18025330058023456</v>
      </c>
      <c r="G14" s="19">
        <f t="shared" si="6"/>
        <v>0.17571030528568454</v>
      </c>
      <c r="H14" s="19">
        <f>H13/H5</f>
        <v>0.22866001265273472</v>
      </c>
      <c r="I14" s="19">
        <f t="shared" ref="I14:K14" si="7">I13/I5</f>
        <v>0.18238378544791339</v>
      </c>
      <c r="J14" s="19">
        <f t="shared" si="7"/>
        <v>0.18500402939178953</v>
      </c>
      <c r="K14" s="19">
        <f t="shared" si="7"/>
        <v>0.18225320238743059</v>
      </c>
    </row>
    <row r="16" spans="1:14" x14ac:dyDescent="0.35">
      <c r="B16" s="2" t="s">
        <v>75</v>
      </c>
      <c r="C16" s="25">
        <f t="shared" ref="C16:G16" si="8">C11-C13</f>
        <v>2617.6500000000005</v>
      </c>
      <c r="D16" s="25">
        <f t="shared" si="8"/>
        <v>2925.8799999999992</v>
      </c>
      <c r="E16" s="25">
        <f t="shared" si="8"/>
        <v>3201.5000000000009</v>
      </c>
      <c r="F16" s="25">
        <f t="shared" si="8"/>
        <v>3562.3999999999987</v>
      </c>
      <c r="G16" s="25">
        <f t="shared" si="8"/>
        <v>3706.2899999999981</v>
      </c>
      <c r="H16" s="25">
        <f t="shared" ref="H16:K16" si="9">H11-H13</f>
        <v>4470.99</v>
      </c>
      <c r="I16" s="25">
        <f t="shared" si="9"/>
        <v>5843.12</v>
      </c>
      <c r="J16" s="25">
        <f t="shared" si="9"/>
        <v>4771.3300000000008</v>
      </c>
      <c r="K16" s="25">
        <f t="shared" si="9"/>
        <v>5306.9599999999991</v>
      </c>
    </row>
    <row r="17" spans="2:11" x14ac:dyDescent="0.35">
      <c r="B17" s="18" t="s">
        <v>78</v>
      </c>
      <c r="C17" s="19">
        <f t="shared" ref="C17:G17" si="10">C16/C5</f>
        <v>0.23180901625625322</v>
      </c>
      <c r="D17" s="19">
        <f t="shared" si="10"/>
        <v>0.23655135056472276</v>
      </c>
      <c r="E17" s="19">
        <f t="shared" si="10"/>
        <v>0.23981219517858768</v>
      </c>
      <c r="F17" s="19">
        <f t="shared" si="10"/>
        <v>0.24167282313665861</v>
      </c>
      <c r="G17" s="19">
        <f t="shared" si="10"/>
        <v>0.21934655701380593</v>
      </c>
      <c r="H17" s="19">
        <f>H16/H5</f>
        <v>0.23376136524053268</v>
      </c>
      <c r="I17" s="19">
        <f t="shared" ref="I17:J17" si="11">I16/I5</f>
        <v>0.23953211234452562</v>
      </c>
      <c r="J17" s="19">
        <f t="shared" si="11"/>
        <v>0.23618621532198505</v>
      </c>
      <c r="K17" s="19">
        <f>K16/K5</f>
        <v>0.22919679027061576</v>
      </c>
    </row>
    <row r="19" spans="2:11" x14ac:dyDescent="0.35">
      <c r="B19" t="s">
        <v>7</v>
      </c>
      <c r="C19" s="20">
        <f>IFERROR('Data Sheet'!C26,0)</f>
        <v>335.67</v>
      </c>
      <c r="D19" s="20">
        <f>IFERROR('Data Sheet'!D26,0)</f>
        <v>370.15</v>
      </c>
      <c r="E19" s="20">
        <f>IFERROR('Data Sheet'!E26,0)</f>
        <v>370.38</v>
      </c>
      <c r="F19" s="20">
        <f>IFERROR('Data Sheet'!F26,0)</f>
        <v>391.02</v>
      </c>
      <c r="G19" s="20">
        <f>IFERROR('Data Sheet'!G26,0)</f>
        <v>403.01</v>
      </c>
      <c r="H19" s="20">
        <f>IFERROR('Data Sheet'!H26,0)</f>
        <v>428.91</v>
      </c>
      <c r="I19" s="20">
        <f>IFERROR('Data Sheet'!I26,0)</f>
        <v>567.75</v>
      </c>
      <c r="J19" s="20">
        <f>IFERROR('Data Sheet'!J26,0)</f>
        <v>539.91999999999996</v>
      </c>
      <c r="K19" s="20">
        <f>IFERROR('Data Sheet'!K26,0)</f>
        <v>699.23</v>
      </c>
    </row>
    <row r="20" spans="2:11" x14ac:dyDescent="0.35">
      <c r="B20" s="19" t="s">
        <v>80</v>
      </c>
      <c r="C20" s="19">
        <f t="shared" ref="C20:G20" si="12">C19/C5</f>
        <v>2.9725644179602505E-2</v>
      </c>
      <c r="D20" s="19">
        <f t="shared" si="12"/>
        <v>2.9925862445326586E-2</v>
      </c>
      <c r="E20" s="19">
        <f t="shared" si="12"/>
        <v>2.7743757879195776E-2</v>
      </c>
      <c r="F20" s="19">
        <f t="shared" si="12"/>
        <v>2.6526753678109218E-2</v>
      </c>
      <c r="G20" s="19">
        <f t="shared" si="12"/>
        <v>2.3851035925989056E-2</v>
      </c>
      <c r="H20" s="19">
        <f>H19/H5</f>
        <v>2.2425142343265557E-2</v>
      </c>
      <c r="I20" s="19">
        <f>I19/I5</f>
        <v>2.3274270729268683E-2</v>
      </c>
      <c r="J20" s="19">
        <f>J19/J5</f>
        <v>2.6726648833060414E-2</v>
      </c>
      <c r="K20" s="19">
        <f>K19/K5</f>
        <v>3.0198319124493625E-2</v>
      </c>
    </row>
    <row r="22" spans="2:11" x14ac:dyDescent="0.35">
      <c r="B22" s="2" t="s">
        <v>129</v>
      </c>
      <c r="C22" s="25">
        <f t="shared" ref="C22:G22" si="13">C16-C19</f>
        <v>2281.9800000000005</v>
      </c>
      <c r="D22" s="25">
        <f t="shared" si="13"/>
        <v>2555.7299999999991</v>
      </c>
      <c r="E22" s="25">
        <f t="shared" si="13"/>
        <v>2831.1200000000008</v>
      </c>
      <c r="F22" s="25">
        <f t="shared" si="13"/>
        <v>3171.3799999999987</v>
      </c>
      <c r="G22" s="25">
        <f t="shared" si="13"/>
        <v>3303.2799999999979</v>
      </c>
      <c r="H22" s="25">
        <f>H16-H19</f>
        <v>4042.08</v>
      </c>
      <c r="I22" s="25">
        <f t="shared" ref="I22:K22" si="14">I16-I19</f>
        <v>5275.37</v>
      </c>
      <c r="J22" s="25">
        <f t="shared" si="14"/>
        <v>4231.4100000000008</v>
      </c>
      <c r="K22" s="25">
        <f t="shared" si="14"/>
        <v>4607.7299999999996</v>
      </c>
    </row>
    <row r="23" spans="2:11" x14ac:dyDescent="0.35">
      <c r="B23" s="18" t="s">
        <v>130</v>
      </c>
      <c r="C23" s="19">
        <f t="shared" ref="C23:G23" si="15">C22/C5</f>
        <v>0.2020833720766507</v>
      </c>
      <c r="D23" s="19">
        <f t="shared" si="15"/>
        <v>0.20662548811939616</v>
      </c>
      <c r="E23" s="19">
        <f t="shared" si="15"/>
        <v>0.2120684372993919</v>
      </c>
      <c r="F23" s="19">
        <f t="shared" si="15"/>
        <v>0.21514606945854939</v>
      </c>
      <c r="G23" s="19">
        <f t="shared" si="15"/>
        <v>0.19549552108781687</v>
      </c>
      <c r="H23" s="19">
        <f>H22/H5</f>
        <v>0.21133622289726711</v>
      </c>
      <c r="I23" s="19">
        <f t="shared" ref="I23:K23" si="16">I22/I5</f>
        <v>0.21625784161525693</v>
      </c>
      <c r="J23" s="19">
        <f t="shared" si="16"/>
        <v>0.20945956648892464</v>
      </c>
      <c r="K23" s="19">
        <f t="shared" si="16"/>
        <v>0.19899847114612215</v>
      </c>
    </row>
    <row r="24" spans="2:11" x14ac:dyDescent="0.35">
      <c r="C24" s="21"/>
      <c r="D24" s="21"/>
      <c r="E24" s="21"/>
      <c r="F24" s="21"/>
      <c r="G24" s="21"/>
      <c r="H24" s="21"/>
      <c r="I24" s="21"/>
      <c r="J24" s="21"/>
      <c r="K24" s="21"/>
    </row>
    <row r="25" spans="2:11" x14ac:dyDescent="0.35">
      <c r="B25" t="s">
        <v>8</v>
      </c>
      <c r="C25" s="20">
        <f>IFERROR('Data Sheet'!C27,0)</f>
        <v>111.95</v>
      </c>
      <c r="D25" s="20">
        <f>IFERROR('Data Sheet'!D27,0)</f>
        <v>129.12</v>
      </c>
      <c r="E25" s="20">
        <f>IFERROR('Data Sheet'!E27,0)</f>
        <v>164.18</v>
      </c>
      <c r="F25" s="20">
        <f>IFERROR('Data Sheet'!F27,0)</f>
        <v>201.68</v>
      </c>
      <c r="G25" s="20">
        <f>IFERROR('Data Sheet'!G27,0)</f>
        <v>154.57</v>
      </c>
      <c r="H25" s="20">
        <f>IFERROR('Data Sheet'!H27,0)</f>
        <v>119.29</v>
      </c>
      <c r="I25" s="20">
        <f>IFERROR('Data Sheet'!I27,0)</f>
        <v>145.49</v>
      </c>
      <c r="J25" s="20">
        <f>IFERROR('Data Sheet'!J27,0)</f>
        <v>136</v>
      </c>
      <c r="K25" s="20">
        <f>IFERROR('Data Sheet'!K27,0)</f>
        <v>158.31</v>
      </c>
    </row>
    <row r="26" spans="2:11" x14ac:dyDescent="0.35">
      <c r="B26" s="19" t="s">
        <v>79</v>
      </c>
      <c r="C26" s="19">
        <f t="shared" ref="C26:G26" si="17">C25/C5</f>
        <v>9.9138614291015004E-3</v>
      </c>
      <c r="D26" s="19">
        <f t="shared" si="17"/>
        <v>1.0439085124788786E-2</v>
      </c>
      <c r="E26" s="19">
        <f t="shared" si="17"/>
        <v>1.2298099704644858E-2</v>
      </c>
      <c r="F26" s="19">
        <f t="shared" si="17"/>
        <v>1.3681948958623773E-2</v>
      </c>
      <c r="G26" s="19">
        <f t="shared" si="17"/>
        <v>9.1477993674601819E-3</v>
      </c>
      <c r="H26" s="19">
        <f>H25/H5</f>
        <v>6.2369616705792554E-3</v>
      </c>
      <c r="I26" s="19">
        <f>I25/I5</f>
        <v>5.9641984119793937E-3</v>
      </c>
      <c r="J26" s="19">
        <f>J25/J5</f>
        <v>6.732153358453505E-3</v>
      </c>
      <c r="K26" s="19">
        <f>K25/K5</f>
        <v>6.8370863672877098E-3</v>
      </c>
    </row>
    <row r="27" spans="2:11" x14ac:dyDescent="0.35"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2:11" x14ac:dyDescent="0.35">
      <c r="B28" s="2" t="s">
        <v>81</v>
      </c>
      <c r="C28" s="25">
        <f t="shared" ref="C28:G28" si="18">C16-C25-C19</f>
        <v>2170.0300000000007</v>
      </c>
      <c r="D28" s="25">
        <f t="shared" si="18"/>
        <v>2426.6099999999992</v>
      </c>
      <c r="E28" s="25">
        <f t="shared" si="18"/>
        <v>2666.940000000001</v>
      </c>
      <c r="F28" s="25">
        <f t="shared" si="18"/>
        <v>2969.6999999999989</v>
      </c>
      <c r="G28" s="25">
        <f t="shared" si="18"/>
        <v>3148.7099999999982</v>
      </c>
      <c r="H28" s="25">
        <f>H16-H25-H19</f>
        <v>3922.79</v>
      </c>
      <c r="I28" s="25">
        <f>I16-I25-I19</f>
        <v>5129.88</v>
      </c>
      <c r="J28" s="25">
        <f>J16-J25-J19</f>
        <v>4095.4100000000008</v>
      </c>
      <c r="K28" s="25">
        <f>K16-K25-K19</f>
        <v>4449.4199999999983</v>
      </c>
    </row>
    <row r="29" spans="2:11" x14ac:dyDescent="0.35">
      <c r="B29" s="19" t="s">
        <v>82</v>
      </c>
      <c r="C29" s="19">
        <f t="shared" ref="C29:G29" si="19">C28/C5</f>
        <v>0.19216951064754922</v>
      </c>
      <c r="D29" s="19">
        <f t="shared" si="19"/>
        <v>0.19618640299460738</v>
      </c>
      <c r="E29" s="19">
        <f t="shared" si="19"/>
        <v>0.19977033759474705</v>
      </c>
      <c r="F29" s="19">
        <f t="shared" si="19"/>
        <v>0.20146412049992565</v>
      </c>
      <c r="G29" s="19">
        <f t="shared" si="19"/>
        <v>0.18634772172035671</v>
      </c>
      <c r="H29" s="19">
        <f>H28/H5</f>
        <v>0.20509926122668787</v>
      </c>
      <c r="I29" s="19">
        <f t="shared" ref="I29:K29" si="20">I28/I5</f>
        <v>0.21029364320327756</v>
      </c>
      <c r="J29" s="19">
        <f t="shared" si="20"/>
        <v>0.20272741313047113</v>
      </c>
      <c r="K29" s="19">
        <f t="shared" si="20"/>
        <v>0.19216138477883438</v>
      </c>
    </row>
    <row r="31" spans="2:11" x14ac:dyDescent="0.35">
      <c r="B31" t="s">
        <v>10</v>
      </c>
      <c r="C31">
        <f>IFERROR('Data Sheet'!C29,0)</f>
        <v>822.02</v>
      </c>
      <c r="D31">
        <f>IFERROR('Data Sheet'!D29,0)</f>
        <v>705.05</v>
      </c>
      <c r="E31">
        <f>IFERROR('Data Sheet'!E29,0)</f>
        <v>730.36</v>
      </c>
      <c r="F31">
        <f>IFERROR('Data Sheet'!F29,0)</f>
        <v>738.91</v>
      </c>
      <c r="G31">
        <f>IFERROR('Data Sheet'!G29,0)</f>
        <v>865.45</v>
      </c>
      <c r="H31">
        <f>IFERROR('Data Sheet'!H29,0)</f>
        <v>1039.6199999999999</v>
      </c>
      <c r="I31">
        <f>IFERROR('Data Sheet'!I29,0)</f>
        <v>1356.03</v>
      </c>
      <c r="J31">
        <f>IFERROR('Data Sheet'!J29,0)</f>
        <v>1132.97</v>
      </c>
      <c r="K31">
        <f>IFERROR('Data Sheet'!K29,0)</f>
        <v>1065.05</v>
      </c>
    </row>
    <row r="32" spans="2:11" x14ac:dyDescent="0.35">
      <c r="B32" s="19" t="s">
        <v>83</v>
      </c>
      <c r="C32" s="19">
        <f t="shared" ref="C32:G32" si="21">C31/C28</f>
        <v>0.37880582296097276</v>
      </c>
      <c r="D32" s="19">
        <f t="shared" si="21"/>
        <v>0.29054936722423469</v>
      </c>
      <c r="E32" s="19">
        <f t="shared" si="21"/>
        <v>0.27385692966470926</v>
      </c>
      <c r="F32" s="19">
        <f t="shared" si="21"/>
        <v>0.24881637875879725</v>
      </c>
      <c r="G32" s="19">
        <f t="shared" si="21"/>
        <v>0.27485859288407016</v>
      </c>
      <c r="H32" s="19">
        <f t="shared" ref="H32:K32" si="22">H31/H28</f>
        <v>0.26502055934679142</v>
      </c>
      <c r="I32" s="19">
        <f t="shared" si="22"/>
        <v>0.26433951671384126</v>
      </c>
      <c r="J32" s="19">
        <f t="shared" si="22"/>
        <v>0.27664385250805168</v>
      </c>
      <c r="K32" s="19">
        <f t="shared" si="22"/>
        <v>0.23936827721365939</v>
      </c>
    </row>
    <row r="34" spans="1:11" x14ac:dyDescent="0.35">
      <c r="B34" s="2" t="s">
        <v>84</v>
      </c>
      <c r="C34" s="25">
        <f t="shared" ref="C34:G34" si="23">C28-C31</f>
        <v>1348.0100000000007</v>
      </c>
      <c r="D34" s="25">
        <f t="shared" si="23"/>
        <v>1721.5599999999993</v>
      </c>
      <c r="E34" s="25">
        <f t="shared" si="23"/>
        <v>1936.5800000000008</v>
      </c>
      <c r="F34" s="25">
        <f t="shared" si="23"/>
        <v>2230.7899999999991</v>
      </c>
      <c r="G34" s="25">
        <f t="shared" si="23"/>
        <v>2283.2599999999984</v>
      </c>
      <c r="H34" s="25">
        <f t="shared" ref="H34:K34" si="24">H28-H31</f>
        <v>2883.17</v>
      </c>
      <c r="I34" s="25">
        <f t="shared" si="24"/>
        <v>3773.8500000000004</v>
      </c>
      <c r="J34" s="25">
        <f t="shared" si="24"/>
        <v>2962.4400000000005</v>
      </c>
      <c r="K34" s="25">
        <f t="shared" si="24"/>
        <v>3384.3699999999981</v>
      </c>
    </row>
    <row r="35" spans="1:11" x14ac:dyDescent="0.35">
      <c r="B35" s="19" t="s">
        <v>85</v>
      </c>
      <c r="C35" s="19">
        <f t="shared" ref="C35:G35" si="25">C34/C5</f>
        <v>0.11937458101869691</v>
      </c>
      <c r="D35" s="19">
        <f t="shared" si="25"/>
        <v>0.13918456774652552</v>
      </c>
      <c r="E35" s="19">
        <f t="shared" si="25"/>
        <v>0.14506184630296717</v>
      </c>
      <c r="F35" s="19">
        <f t="shared" si="25"/>
        <v>0.15133654758730819</v>
      </c>
      <c r="G35" s="19">
        <f t="shared" si="25"/>
        <v>0.13512844914114719</v>
      </c>
      <c r="H35" s="19">
        <f>H34/H5</f>
        <v>0.15074374029477736</v>
      </c>
      <c r="I35" s="19">
        <f t="shared" ref="I35:K35" si="26">I34/I5</f>
        <v>0.1547047231909302</v>
      </c>
      <c r="J35" s="19">
        <f t="shared" si="26"/>
        <v>0.14664412055306622</v>
      </c>
      <c r="K35" s="19">
        <f t="shared" si="26"/>
        <v>0.14616404515733367</v>
      </c>
    </row>
    <row r="37" spans="1:11" x14ac:dyDescent="0.35">
      <c r="B37" t="s">
        <v>53</v>
      </c>
      <c r="C37">
        <f>IFERROR('Data Sheet'!C93,0)</f>
        <v>192.8</v>
      </c>
      <c r="D37">
        <f>IFERROR('Data Sheet'!D93,0)</f>
        <v>192.8</v>
      </c>
      <c r="E37">
        <f>IFERROR('Data Sheet'!E93,0)</f>
        <v>192.8</v>
      </c>
      <c r="F37">
        <f>IFERROR('Data Sheet'!F93,0)</f>
        <v>192.8</v>
      </c>
      <c r="G37">
        <f>IFERROR('Data Sheet'!G93,0)</f>
        <v>192.8</v>
      </c>
      <c r="H37">
        <f>IFERROR('Data Sheet'!H93,0)</f>
        <v>192.8</v>
      </c>
      <c r="I37">
        <f>IFERROR('Data Sheet'!I93,0)</f>
        <v>192.83</v>
      </c>
      <c r="J37">
        <f>IFERROR('Data Sheet'!J93,0)</f>
        <v>192.83</v>
      </c>
      <c r="K37">
        <f>IFERROR('Data Sheet'!K93,0)</f>
        <v>192.83</v>
      </c>
    </row>
    <row r="39" spans="1:11" x14ac:dyDescent="0.35">
      <c r="B39" t="s">
        <v>41</v>
      </c>
      <c r="C39" s="20">
        <f t="shared" ref="C39:G39" si="27">IFERROR(C34/C37,0)</f>
        <v>6.9917531120331979</v>
      </c>
      <c r="D39" s="20">
        <f t="shared" si="27"/>
        <v>8.9292531120331908</v>
      </c>
      <c r="E39" s="20">
        <f t="shared" si="27"/>
        <v>10.044502074688801</v>
      </c>
      <c r="F39" s="20">
        <f t="shared" si="27"/>
        <v>11.570487551867215</v>
      </c>
      <c r="G39" s="20">
        <f t="shared" si="27"/>
        <v>11.842634854771775</v>
      </c>
      <c r="H39" s="20">
        <f t="shared" ref="H39:K39" si="28">IFERROR(H34/H37,0)</f>
        <v>14.954201244813277</v>
      </c>
      <c r="I39" s="20">
        <f t="shared" si="28"/>
        <v>19.570865529222633</v>
      </c>
      <c r="J39" s="20">
        <f t="shared" si="28"/>
        <v>15.362962194679254</v>
      </c>
      <c r="K39" s="20">
        <f t="shared" si="28"/>
        <v>17.551055333713624</v>
      </c>
    </row>
    <row r="40" spans="1:11" x14ac:dyDescent="0.35">
      <c r="B40" s="18" t="s">
        <v>87</v>
      </c>
      <c r="C40" s="22" t="s">
        <v>128</v>
      </c>
      <c r="D40" s="22">
        <f>IFERROR(D42/C42,0)</f>
        <v>2.9739094360722569</v>
      </c>
      <c r="E40" s="22">
        <f t="shared" ref="E40:H40" si="29">IFERROR(E42/D42,0)</f>
        <v>0.58479603100474298</v>
      </c>
      <c r="F40" s="22">
        <f t="shared" si="29"/>
        <v>1</v>
      </c>
      <c r="G40" s="22">
        <f t="shared" si="29"/>
        <v>1.0999999999999999</v>
      </c>
      <c r="H40" s="22">
        <f t="shared" si="29"/>
        <v>0.79091003375384206</v>
      </c>
      <c r="I40" s="19">
        <f>I42/H42</f>
        <v>1.8502822153854599</v>
      </c>
      <c r="J40" s="19">
        <f>J42/I42</f>
        <v>0.83851039707284403</v>
      </c>
      <c r="K40" s="19">
        <f>K42/J42</f>
        <v>0.88884279425660884</v>
      </c>
    </row>
    <row r="42" spans="1:11" x14ac:dyDescent="0.35">
      <c r="B42" t="s">
        <v>86</v>
      </c>
      <c r="C42" s="20">
        <f>IFERROR('Data Sheet'!C31/'Historical FS'!C37,0)</f>
        <v>5.7511929460580902</v>
      </c>
      <c r="D42" s="20">
        <f>IFERROR('Data Sheet'!D31/'Historical FS'!D37,0)</f>
        <v>17.103526970954356</v>
      </c>
      <c r="E42" s="20">
        <f>IFERROR('Data Sheet'!E31/'Historical FS'!E37,0)</f>
        <v>10.00207468879668</v>
      </c>
      <c r="F42" s="20">
        <f>IFERROR('Data Sheet'!F31/'Historical FS'!F37,0)</f>
        <v>10.00207468879668</v>
      </c>
      <c r="G42" s="20">
        <f>IFERROR('Data Sheet'!G31/'Historical FS'!G37,0)</f>
        <v>11.002282157676348</v>
      </c>
      <c r="H42" s="20">
        <f>IFERROR('Data Sheet'!H31/'Historical FS'!H37,0)</f>
        <v>8.7018153526970945</v>
      </c>
      <c r="I42" s="20">
        <f>IFERROR('Data Sheet'!I31/'Historical FS'!I37,0)</f>
        <v>16.100814188663588</v>
      </c>
      <c r="J42" s="20">
        <f>IFERROR('Data Sheet'!J31/'Historical FS'!J37,0)</f>
        <v>13.500700098532386</v>
      </c>
      <c r="K42" s="20">
        <f>IFERROR('Data Sheet'!K31/'Historical FS'!K37,0)</f>
        <v>12</v>
      </c>
    </row>
    <row r="43" spans="1:11" x14ac:dyDescent="0.35">
      <c r="B43" s="18" t="s">
        <v>88</v>
      </c>
      <c r="C43" s="19">
        <f t="shared" ref="C43:G43" si="30">IFERROR(C42/C39,0)</f>
        <v>0.82256808183915497</v>
      </c>
      <c r="D43" s="19">
        <f t="shared" si="30"/>
        <v>1.915448779014383</v>
      </c>
      <c r="E43" s="19">
        <f t="shared" si="30"/>
        <v>0.99577605882535147</v>
      </c>
      <c r="F43" s="19">
        <f t="shared" si="30"/>
        <v>0.86444712411298275</v>
      </c>
      <c r="G43" s="19">
        <f t="shared" si="30"/>
        <v>0.9290400567609477</v>
      </c>
      <c r="H43" s="19">
        <f t="shared" ref="H43:K43" si="31">IFERROR(H42/H39,0)</f>
        <v>0.58189770287565423</v>
      </c>
      <c r="I43" s="19">
        <f t="shared" si="31"/>
        <v>0.82269300581634119</v>
      </c>
      <c r="J43" s="19">
        <f t="shared" si="31"/>
        <v>0.87878235508567248</v>
      </c>
      <c r="K43" s="19">
        <f t="shared" si="31"/>
        <v>0.68371956966880143</v>
      </c>
    </row>
    <row r="45" spans="1:11" x14ac:dyDescent="0.35">
      <c r="B45" t="s">
        <v>89</v>
      </c>
      <c r="C45" s="23">
        <f t="shared" ref="C45:G45" si="32">IFERROR(IF(C39&gt;C42,1-C43,0),0)</f>
        <v>0.17743191816084503</v>
      </c>
      <c r="D45" s="23">
        <f t="shared" si="32"/>
        <v>0</v>
      </c>
      <c r="E45" s="23">
        <f t="shared" si="32"/>
        <v>4.2239411746485267E-3</v>
      </c>
      <c r="F45" s="23">
        <f t="shared" si="32"/>
        <v>0.13555287588701725</v>
      </c>
      <c r="G45" s="23">
        <f t="shared" si="32"/>
        <v>7.0959943239052303E-2</v>
      </c>
      <c r="H45" s="23">
        <f t="shared" ref="H45:K45" si="33">IFERROR(IF(H39&gt;H42,1-H43,0),0)</f>
        <v>0.41810229712434577</v>
      </c>
      <c r="I45" s="23">
        <f t="shared" si="33"/>
        <v>0.17730699418365881</v>
      </c>
      <c r="J45" s="23">
        <f>IFERROR(IF(J39&gt;J42,1-J43,0),0)</f>
        <v>0.12121764491432752</v>
      </c>
      <c r="K45" s="23">
        <f t="shared" si="33"/>
        <v>0.31628043033119857</v>
      </c>
    </row>
    <row r="47" spans="1:11" x14ac:dyDescent="0.35">
      <c r="A47" t="s">
        <v>71</v>
      </c>
      <c r="B47" s="15" t="s">
        <v>90</v>
      </c>
      <c r="C47" s="16"/>
      <c r="D47" s="16"/>
      <c r="E47" s="16"/>
      <c r="F47" s="16"/>
      <c r="G47" s="16"/>
      <c r="H47" s="16"/>
      <c r="I47" s="16"/>
      <c r="J47" s="16"/>
      <c r="K47" s="16"/>
    </row>
    <row r="48" spans="1:11" x14ac:dyDescent="0.35">
      <c r="B48" t="s">
        <v>17</v>
      </c>
      <c r="C48" s="20">
        <f>IFERROR('Data Sheet'!C57,0)</f>
        <v>96.42</v>
      </c>
      <c r="D48" s="20">
        <f>IFERROR('Data Sheet'!D57,0)</f>
        <v>96.42</v>
      </c>
      <c r="E48" s="20">
        <f>IFERROR('Data Sheet'!E57,0)</f>
        <v>96.42</v>
      </c>
      <c r="F48" s="20">
        <f>IFERROR('Data Sheet'!F57,0)</f>
        <v>96.42</v>
      </c>
      <c r="G48" s="20">
        <f>IFERROR('Data Sheet'!G57,0)</f>
        <v>96.42</v>
      </c>
      <c r="H48" s="20">
        <f>IFERROR('Data Sheet'!H57,0)</f>
        <v>96.42</v>
      </c>
      <c r="I48" s="20">
        <f>IFERROR('Data Sheet'!I57,0)</f>
        <v>96.42</v>
      </c>
      <c r="J48" s="20">
        <f>IFERROR('Data Sheet'!J57,0)</f>
        <v>96.42</v>
      </c>
      <c r="K48" s="20">
        <f>IFERROR('Data Sheet'!K57,0)</f>
        <v>192.83</v>
      </c>
    </row>
    <row r="49" spans="2:18" x14ac:dyDescent="0.35">
      <c r="B49" t="s">
        <v>18</v>
      </c>
      <c r="C49" s="20">
        <f>IFERROR('Data Sheet'!C58,0)</f>
        <v>3577.32</v>
      </c>
      <c r="D49" s="20">
        <f>IFERROR('Data Sheet'!D58,0)</f>
        <v>1822.45</v>
      </c>
      <c r="E49" s="20">
        <f>IFERROR('Data Sheet'!E58,0)</f>
        <v>1922.92</v>
      </c>
      <c r="F49" s="20">
        <f>IFERROR('Data Sheet'!F58,0)</f>
        <v>1849.96</v>
      </c>
      <c r="G49" s="20">
        <f>IFERROR('Data Sheet'!G58,0)</f>
        <v>2362.75</v>
      </c>
      <c r="H49" s="20">
        <f>IFERROR('Data Sheet'!H58,0)</f>
        <v>2362.75</v>
      </c>
      <c r="I49" s="20">
        <f>IFERROR('Data Sheet'!I58,0)</f>
        <v>3244.47</v>
      </c>
      <c r="J49" s="20">
        <f>IFERROR('Data Sheet'!J58,0)</f>
        <v>4020.73</v>
      </c>
      <c r="K49" s="20">
        <f>IFERROR('Data Sheet'!K58,0)</f>
        <v>5116.41</v>
      </c>
    </row>
    <row r="50" spans="2:18" x14ac:dyDescent="0.35">
      <c r="B50" t="s">
        <v>50</v>
      </c>
      <c r="C50" s="20">
        <f>IFERROR('Data Sheet'!C59,0)</f>
        <v>35.14</v>
      </c>
      <c r="D50" s="20">
        <f>IFERROR('Data Sheet'!D59,0)</f>
        <v>188.94</v>
      </c>
      <c r="E50" s="20">
        <f>IFERROR('Data Sheet'!E59,0)</f>
        <v>147.49</v>
      </c>
      <c r="F50" s="20">
        <f>IFERROR('Data Sheet'!F59,0)</f>
        <v>266.45999999999998</v>
      </c>
      <c r="G50" s="20">
        <f>IFERROR('Data Sheet'!G59,0)</f>
        <v>270.52</v>
      </c>
      <c r="H50" s="20">
        <f>IFERROR('Data Sheet'!H59,0)</f>
        <v>270.52</v>
      </c>
      <c r="I50" s="20">
        <f>IFERROR('Data Sheet'!I59,0)</f>
        <v>344.53</v>
      </c>
      <c r="J50" s="20">
        <f>IFERROR('Data Sheet'!J59,0)</f>
        <v>1166.8499999999999</v>
      </c>
      <c r="K50" s="20">
        <f>IFERROR('Data Sheet'!K59,0)</f>
        <v>444.16</v>
      </c>
    </row>
    <row r="51" spans="2:18" x14ac:dyDescent="0.35">
      <c r="B51" t="s">
        <v>51</v>
      </c>
      <c r="C51" s="20">
        <f>IFERROR('Data Sheet'!C60,0)</f>
        <v>4379.2</v>
      </c>
      <c r="D51" s="20">
        <f>IFERROR('Data Sheet'!D60,0)</f>
        <v>5065.13</v>
      </c>
      <c r="E51" s="20">
        <f>IFERROR('Data Sheet'!E60,0)</f>
        <v>5732.9</v>
      </c>
      <c r="F51" s="20">
        <f>IFERROR('Data Sheet'!F60,0)</f>
        <v>6021.29</v>
      </c>
      <c r="G51" s="20">
        <f>IFERROR('Data Sheet'!G60,0)</f>
        <v>6249.05</v>
      </c>
      <c r="H51" s="20">
        <f>IFERROR('Data Sheet'!H60,0)</f>
        <v>6249.05</v>
      </c>
      <c r="I51" s="20">
        <f>IFERROR('Data Sheet'!I60,0)</f>
        <v>6837.64</v>
      </c>
      <c r="J51" s="20">
        <f>IFERROR('Data Sheet'!J60,0)</f>
        <v>7039.89</v>
      </c>
      <c r="K51" s="20">
        <f>IFERROR('Data Sheet'!K60,0)</f>
        <v>7603.77</v>
      </c>
    </row>
    <row r="52" spans="2:18" x14ac:dyDescent="0.35">
      <c r="B52" s="2" t="s">
        <v>91</v>
      </c>
      <c r="C52" s="25">
        <f>IFERROR('Data Sheet'!C61,0)</f>
        <v>8088.08</v>
      </c>
      <c r="D52" s="25">
        <f>IFERROR('Data Sheet'!D61,0)</f>
        <v>7172.94</v>
      </c>
      <c r="E52" s="25">
        <f>IFERROR('Data Sheet'!E61,0)</f>
        <v>7899.73</v>
      </c>
      <c r="F52" s="25">
        <f>IFERROR('Data Sheet'!F61,0)</f>
        <v>8234.1299999999992</v>
      </c>
      <c r="G52" s="25">
        <f>IFERROR('Data Sheet'!G61,0)</f>
        <v>8978.74</v>
      </c>
      <c r="H52" s="25">
        <f>IFERROR('Data Sheet'!H61,0)</f>
        <v>8978.74</v>
      </c>
      <c r="I52" s="25">
        <f>IFERROR('Data Sheet'!I61,0)</f>
        <v>10523.06</v>
      </c>
      <c r="J52" s="25">
        <f>IFERROR('Data Sheet'!J61,0)</f>
        <v>12323.89</v>
      </c>
      <c r="K52" s="25">
        <f>IFERROR('Data Sheet'!K61,0)</f>
        <v>13357.17</v>
      </c>
    </row>
    <row r="53" spans="2:18" x14ac:dyDescent="0.35">
      <c r="C53" s="20"/>
      <c r="D53" s="20"/>
      <c r="E53" s="20"/>
      <c r="F53" s="20"/>
      <c r="G53" s="20"/>
      <c r="H53" s="20"/>
      <c r="I53" s="20"/>
      <c r="J53" s="20"/>
      <c r="K53" s="20"/>
    </row>
    <row r="54" spans="2:18" x14ac:dyDescent="0.35">
      <c r="B54" t="s">
        <v>92</v>
      </c>
      <c r="C54" s="20">
        <f>IFERROR('Data Sheet'!C62,0)</f>
        <v>2400.62</v>
      </c>
      <c r="D54" s="20">
        <f>IFERROR('Data Sheet'!D62,0)</f>
        <v>2341.4499999999998</v>
      </c>
      <c r="E54" s="20">
        <f>IFERROR('Data Sheet'!E62,0)</f>
        <v>2179.41</v>
      </c>
      <c r="F54" s="20">
        <f>IFERROR('Data Sheet'!F62,0)</f>
        <v>2994.67</v>
      </c>
      <c r="G54" s="20">
        <f>IFERROR('Data Sheet'!G62,0)</f>
        <v>3043.7</v>
      </c>
      <c r="H54" s="20">
        <f>IFERROR('Data Sheet'!H62,0)</f>
        <v>3043.7</v>
      </c>
      <c r="I54" s="20">
        <f>IFERROR('Data Sheet'!I62,0)</f>
        <v>3460.25</v>
      </c>
      <c r="J54" s="20">
        <f>IFERROR('Data Sheet'!J62,0)</f>
        <v>5473.61</v>
      </c>
      <c r="K54" s="20">
        <f>IFERROR('Data Sheet'!K62,0)</f>
        <v>6290.42</v>
      </c>
    </row>
    <row r="55" spans="2:18" x14ac:dyDescent="0.35">
      <c r="B55" t="s">
        <v>21</v>
      </c>
      <c r="C55" s="20">
        <f>IFERROR('Data Sheet'!C63,0)</f>
        <v>105.2</v>
      </c>
      <c r="D55" s="20">
        <f>IFERROR('Data Sheet'!D63,0)</f>
        <v>143.30000000000001</v>
      </c>
      <c r="E55" s="20">
        <f>IFERROR('Data Sheet'!E63,0)</f>
        <v>638.58000000000004</v>
      </c>
      <c r="F55" s="20">
        <f>IFERROR('Data Sheet'!F63,0)</f>
        <v>246.23</v>
      </c>
      <c r="G55" s="20">
        <f>IFERROR('Data Sheet'!G63,0)</f>
        <v>358.36</v>
      </c>
      <c r="H55" s="20">
        <f>IFERROR('Data Sheet'!H63,0)</f>
        <v>358.36</v>
      </c>
      <c r="I55" s="20">
        <f>IFERROR('Data Sheet'!I63,0)</f>
        <v>1741.71</v>
      </c>
      <c r="J55" s="20">
        <f>IFERROR('Data Sheet'!J63,0)</f>
        <v>1172.56</v>
      </c>
      <c r="K55" s="20">
        <f>IFERROR('Data Sheet'!K63,0)</f>
        <v>506.98</v>
      </c>
    </row>
    <row r="56" spans="2:18" x14ac:dyDescent="0.35">
      <c r="B56" t="s">
        <v>22</v>
      </c>
      <c r="C56" s="20">
        <f>IFERROR('Data Sheet'!C64,0)</f>
        <v>2658.49</v>
      </c>
      <c r="D56" s="20">
        <f>IFERROR('Data Sheet'!D64,0)</f>
        <v>1751.05</v>
      </c>
      <c r="E56" s="20">
        <f>IFERROR('Data Sheet'!E64,0)</f>
        <v>1463.77</v>
      </c>
      <c r="F56" s="20">
        <f>IFERROR('Data Sheet'!F64,0)</f>
        <v>773.98</v>
      </c>
      <c r="G56" s="20">
        <f>IFERROR('Data Sheet'!G64,0)</f>
        <v>777.54</v>
      </c>
      <c r="H56" s="20">
        <f>IFERROR('Data Sheet'!H64,0)</f>
        <v>777.54</v>
      </c>
      <c r="I56" s="20">
        <f>IFERROR('Data Sheet'!I64,0)</f>
        <v>463.87</v>
      </c>
      <c r="J56" s="20">
        <f>IFERROR('Data Sheet'!J64,0)</f>
        <v>705.6</v>
      </c>
      <c r="K56" s="20">
        <f>IFERROR('Data Sheet'!K64,0)</f>
        <v>705.6</v>
      </c>
    </row>
    <row r="57" spans="2:18" x14ac:dyDescent="0.35">
      <c r="B57" t="s">
        <v>52</v>
      </c>
      <c r="C57" s="20">
        <f>IFERROR('Data Sheet'!C65-SUM('Data Sheet'!C67:C69),0)</f>
        <v>223.57000000000016</v>
      </c>
      <c r="D57" s="20">
        <f>IFERROR('Data Sheet'!D65-SUM('Data Sheet'!D67:D69),0)</f>
        <v>221.69000000000005</v>
      </c>
      <c r="E57" s="20">
        <f>IFERROR('Data Sheet'!E65-SUM('Data Sheet'!E67:E69),0)</f>
        <v>266.69000000000005</v>
      </c>
      <c r="F57" s="20">
        <f>IFERROR('Data Sheet'!F65-SUM('Data Sheet'!F67:F69),0)</f>
        <v>1725.2199999999998</v>
      </c>
      <c r="G57" s="20">
        <f>IFERROR('Data Sheet'!G65-SUM('Data Sheet'!G67:G69),0)</f>
        <v>1732.9300000000003</v>
      </c>
      <c r="H57" s="20">
        <f>IFERROR('Data Sheet'!H65-SUM('Data Sheet'!H67:H69),0)</f>
        <v>1732.9300000000003</v>
      </c>
      <c r="I57" s="20">
        <f>IFERROR('Data Sheet'!I65-SUM('Data Sheet'!I67:I69),0)</f>
        <v>1688.5599999999995</v>
      </c>
      <c r="J57" s="20">
        <f>IFERROR('Data Sheet'!J65-SUM('Data Sheet'!J67:J69),0)</f>
        <v>1663.1799999999998</v>
      </c>
      <c r="K57" s="20">
        <f>IFERROR('Data Sheet'!K65-SUM('Data Sheet'!K67:K69),0)</f>
        <v>1614.6100000000006</v>
      </c>
    </row>
    <row r="58" spans="2:18" x14ac:dyDescent="0.35">
      <c r="B58" s="2" t="s">
        <v>94</v>
      </c>
      <c r="C58" s="25">
        <f t="shared" ref="C58:G58" si="34">SUM(C54:C57)</f>
        <v>5387.8799999999992</v>
      </c>
      <c r="D58" s="25">
        <f t="shared" si="34"/>
        <v>4457.49</v>
      </c>
      <c r="E58" s="25">
        <f t="shared" si="34"/>
        <v>4548.4500000000007</v>
      </c>
      <c r="F58" s="25">
        <f t="shared" si="34"/>
        <v>5740.1</v>
      </c>
      <c r="G58" s="25">
        <f t="shared" si="34"/>
        <v>5912.5300000000007</v>
      </c>
      <c r="H58" s="25">
        <f t="shared" ref="H58:K58" si="35">SUM(H54:H57)</f>
        <v>5912.5300000000007</v>
      </c>
      <c r="I58" s="25">
        <f t="shared" si="35"/>
        <v>7354.3899999999994</v>
      </c>
      <c r="J58" s="25">
        <f t="shared" si="35"/>
        <v>9014.9500000000007</v>
      </c>
      <c r="K58" s="25">
        <f t="shared" si="35"/>
        <v>9117.61</v>
      </c>
    </row>
    <row r="59" spans="2:18" x14ac:dyDescent="0.35">
      <c r="C59" s="20"/>
      <c r="D59" s="20"/>
      <c r="E59" s="20"/>
      <c r="F59" s="20"/>
      <c r="G59" s="20"/>
      <c r="H59" s="20"/>
      <c r="I59" s="20"/>
      <c r="J59" s="20"/>
      <c r="K59" s="20"/>
      <c r="R59" s="2"/>
    </row>
    <row r="60" spans="2:18" x14ac:dyDescent="0.35">
      <c r="B60" t="s">
        <v>57</v>
      </c>
      <c r="C60" s="20">
        <f>IFERROR('Data Sheet'!C67,0)</f>
        <v>124.59</v>
      </c>
      <c r="D60" s="20">
        <f>IFERROR('Data Sheet'!D67,0)</f>
        <v>124.33</v>
      </c>
      <c r="E60" s="20">
        <f>IFERROR('Data Sheet'!E67,0)</f>
        <v>164.93</v>
      </c>
      <c r="F60" s="20">
        <f>IFERROR('Data Sheet'!F67,0)</f>
        <v>165.97</v>
      </c>
      <c r="G60" s="20">
        <f>IFERROR('Data Sheet'!G67,0)</f>
        <v>191.89</v>
      </c>
      <c r="H60" s="20">
        <f>IFERROR('Data Sheet'!H67,0)</f>
        <v>191.89</v>
      </c>
      <c r="I60" s="20">
        <f>IFERROR('Data Sheet'!I67,0)</f>
        <v>300.45999999999998</v>
      </c>
      <c r="J60" s="20">
        <f>IFERROR('Data Sheet'!J67,0)</f>
        <v>363.15</v>
      </c>
      <c r="K60" s="20">
        <f>IFERROR('Data Sheet'!K67,0)</f>
        <v>329.47</v>
      </c>
    </row>
    <row r="61" spans="2:18" x14ac:dyDescent="0.35">
      <c r="B61" t="s">
        <v>38</v>
      </c>
      <c r="C61" s="20">
        <f>IFERROR('Data Sheet'!C68,0)</f>
        <v>965.55</v>
      </c>
      <c r="D61" s="20">
        <f>IFERROR('Data Sheet'!D68,0)</f>
        <v>1283.07</v>
      </c>
      <c r="E61" s="20">
        <f>IFERROR('Data Sheet'!E68,0)</f>
        <v>1416.48</v>
      </c>
      <c r="F61" s="20">
        <f>IFERROR('Data Sheet'!F68,0)</f>
        <v>1592.65</v>
      </c>
      <c r="G61" s="20">
        <f>IFERROR('Data Sheet'!G68,0)</f>
        <v>1928.77</v>
      </c>
      <c r="H61" s="20">
        <f>IFERROR('Data Sheet'!H68,0)</f>
        <v>1928.77</v>
      </c>
      <c r="I61" s="20">
        <f>IFERROR('Data Sheet'!I68,0)</f>
        <v>2089.36</v>
      </c>
      <c r="J61" s="20">
        <f>IFERROR('Data Sheet'!J68,0)</f>
        <v>2850.14</v>
      </c>
      <c r="K61" s="20">
        <f>IFERROR('Data Sheet'!K68,0)</f>
        <v>2569.2199999999998</v>
      </c>
    </row>
    <row r="62" spans="2:18" x14ac:dyDescent="0.35">
      <c r="B62" t="s">
        <v>66</v>
      </c>
      <c r="C62" s="20">
        <f>IFERROR('Data Sheet'!C69,0)</f>
        <v>1610.06</v>
      </c>
      <c r="D62" s="20">
        <f>IFERROR('Data Sheet'!D69,0)</f>
        <v>1308.05</v>
      </c>
      <c r="E62" s="20">
        <f>IFERROR('Data Sheet'!E69,0)</f>
        <v>1769.87</v>
      </c>
      <c r="F62" s="20">
        <f>IFERROR('Data Sheet'!F69,0)</f>
        <v>735.41</v>
      </c>
      <c r="G62" s="20">
        <f>IFERROR('Data Sheet'!G69,0)</f>
        <v>945.55</v>
      </c>
      <c r="H62" s="20">
        <f>IFERROR('Data Sheet'!H69,0)</f>
        <v>945.55</v>
      </c>
      <c r="I62" s="20">
        <f>IFERROR('Data Sheet'!I69,0)</f>
        <v>778.85</v>
      </c>
      <c r="J62" s="20">
        <f>IFERROR('Data Sheet'!J69,0)</f>
        <v>95.65</v>
      </c>
      <c r="K62" s="20">
        <f>IFERROR('Data Sheet'!K69,0)</f>
        <v>1340.87</v>
      </c>
    </row>
    <row r="63" spans="2:18" x14ac:dyDescent="0.35">
      <c r="B63" s="2" t="s">
        <v>95</v>
      </c>
      <c r="C63" s="25">
        <f t="shared" ref="C63:G63" si="36">IFERROR(SUM(C60:C62),0)</f>
        <v>2700.2</v>
      </c>
      <c r="D63" s="25">
        <f t="shared" si="36"/>
        <v>2715.45</v>
      </c>
      <c r="E63" s="25">
        <f t="shared" si="36"/>
        <v>3351.2799999999997</v>
      </c>
      <c r="F63" s="25">
        <f t="shared" si="36"/>
        <v>2494.0300000000002</v>
      </c>
      <c r="G63" s="25">
        <f t="shared" si="36"/>
        <v>3066.21</v>
      </c>
      <c r="H63" s="25">
        <f t="shared" ref="H63:K63" si="37">IFERROR(SUM(H60:H62),0)</f>
        <v>3066.21</v>
      </c>
      <c r="I63" s="25">
        <f t="shared" si="37"/>
        <v>3168.67</v>
      </c>
      <c r="J63" s="25">
        <f t="shared" si="37"/>
        <v>3308.94</v>
      </c>
      <c r="K63" s="25">
        <f t="shared" si="37"/>
        <v>4239.5599999999995</v>
      </c>
    </row>
    <row r="64" spans="2:18" x14ac:dyDescent="0.35">
      <c r="C64" s="20"/>
      <c r="D64" s="20"/>
      <c r="E64" s="20"/>
      <c r="F64" s="20"/>
      <c r="G64" s="20"/>
      <c r="H64" s="20"/>
      <c r="I64" s="20"/>
      <c r="J64" s="20"/>
      <c r="K64" s="20"/>
    </row>
    <row r="65" spans="1:17" x14ac:dyDescent="0.35">
      <c r="B65" s="2" t="s">
        <v>93</v>
      </c>
      <c r="C65" s="25">
        <f t="shared" ref="C65:G65" si="38">IFERROR(C58+C63,0)</f>
        <v>8088.079999999999</v>
      </c>
      <c r="D65" s="25">
        <f t="shared" si="38"/>
        <v>7172.94</v>
      </c>
      <c r="E65" s="25">
        <f t="shared" si="38"/>
        <v>7899.7300000000005</v>
      </c>
      <c r="F65" s="25">
        <f t="shared" si="38"/>
        <v>8234.130000000001</v>
      </c>
      <c r="G65" s="25">
        <f t="shared" si="38"/>
        <v>8978.7400000000016</v>
      </c>
      <c r="H65" s="25">
        <f t="shared" ref="H65:K65" si="39">IFERROR(H58+H63,0)</f>
        <v>8978.7400000000016</v>
      </c>
      <c r="I65" s="25">
        <f t="shared" si="39"/>
        <v>10523.06</v>
      </c>
      <c r="J65" s="25">
        <f t="shared" si="39"/>
        <v>12323.890000000001</v>
      </c>
      <c r="K65" s="25">
        <f t="shared" si="39"/>
        <v>13357.17</v>
      </c>
    </row>
    <row r="67" spans="1:17" x14ac:dyDescent="0.35">
      <c r="B67" s="24" t="s">
        <v>96</v>
      </c>
      <c r="C67" s="24" t="b">
        <f t="shared" ref="C67:G67" si="40">C65=C52</f>
        <v>1</v>
      </c>
      <c r="D67" s="24" t="b">
        <f t="shared" si="40"/>
        <v>1</v>
      </c>
      <c r="E67" s="24" t="b">
        <f t="shared" si="40"/>
        <v>1</v>
      </c>
      <c r="F67" s="24" t="b">
        <f t="shared" si="40"/>
        <v>1</v>
      </c>
      <c r="G67" s="24" t="b">
        <f t="shared" si="40"/>
        <v>1</v>
      </c>
      <c r="H67" s="24" t="b">
        <f t="shared" ref="H67:K67" si="41">H65=H52</f>
        <v>1</v>
      </c>
      <c r="I67" s="24" t="b">
        <f t="shared" si="41"/>
        <v>1</v>
      </c>
      <c r="J67" s="24" t="b">
        <f t="shared" si="41"/>
        <v>1</v>
      </c>
      <c r="K67" s="24" t="b">
        <f t="shared" si="41"/>
        <v>1</v>
      </c>
    </row>
    <row r="69" spans="1:17" x14ac:dyDescent="0.35">
      <c r="A69" t="s">
        <v>71</v>
      </c>
      <c r="B69" s="15" t="s">
        <v>124</v>
      </c>
      <c r="C69" s="16"/>
      <c r="D69" s="16"/>
      <c r="E69" s="16"/>
      <c r="F69" s="16"/>
      <c r="G69" s="16"/>
      <c r="H69" s="16"/>
      <c r="I69" s="16"/>
      <c r="J69" s="16"/>
      <c r="K69" s="16"/>
    </row>
    <row r="70" spans="1:17" s="2" customFormat="1" x14ac:dyDescent="0.35">
      <c r="B70" s="2" t="s">
        <v>125</v>
      </c>
      <c r="C70" s="25"/>
      <c r="D70" s="25"/>
      <c r="E70" s="25"/>
      <c r="F70" s="25"/>
      <c r="G70" s="25"/>
      <c r="H70" s="25"/>
      <c r="I70" s="25"/>
      <c r="J70" s="25"/>
      <c r="K70" s="25"/>
    </row>
    <row r="71" spans="1:17" x14ac:dyDescent="0.35">
      <c r="B71" t="s">
        <v>98</v>
      </c>
      <c r="C71" s="86">
        <f>IFERROR('Cash Flow Data'!C3,0)</f>
        <v>2521</v>
      </c>
      <c r="D71" s="86">
        <f>IFERROR('Cash Flow Data'!D3,0)</f>
        <v>2805</v>
      </c>
      <c r="E71" s="86">
        <f>IFERROR('Cash Flow Data'!E3,0)</f>
        <v>3061</v>
      </c>
      <c r="F71" s="86">
        <f>IFERROR('Cash Flow Data'!F3,0)</f>
        <v>3136</v>
      </c>
      <c r="G71" s="86">
        <f>IFERROR('Cash Flow Data'!G3,0)</f>
        <v>3609</v>
      </c>
      <c r="H71" s="86">
        <f>IFERROR('Cash Flow Data'!H3,0)</f>
        <v>4388</v>
      </c>
      <c r="I71" s="86">
        <f>IFERROR('Cash Flow Data'!I3,0)</f>
        <v>5722</v>
      </c>
      <c r="J71" s="86">
        <f>IFERROR('Cash Flow Data'!J3,0)</f>
        <v>4672</v>
      </c>
      <c r="K71" s="86">
        <f>IFERROR('Cash Flow Data'!K3,0)</f>
        <v>5326</v>
      </c>
      <c r="O71" s="64"/>
      <c r="P71" s="64"/>
      <c r="Q71" s="64"/>
    </row>
    <row r="72" spans="1:17" x14ac:dyDescent="0.35">
      <c r="B72" t="s">
        <v>57</v>
      </c>
      <c r="C72" s="86">
        <f>IFERROR('Cash Flow Data'!C4,0)</f>
        <v>-36</v>
      </c>
      <c r="D72" s="86">
        <f>IFERROR('Cash Flow Data'!D4,0)</f>
        <v>0</v>
      </c>
      <c r="E72" s="86">
        <f>IFERROR('Cash Flow Data'!E4,0)</f>
        <v>-42</v>
      </c>
      <c r="F72" s="86">
        <f>IFERROR('Cash Flow Data'!F4,0)</f>
        <v>-2</v>
      </c>
      <c r="G72" s="86">
        <f>IFERROR('Cash Flow Data'!G4,0)</f>
        <v>-28</v>
      </c>
      <c r="H72" s="86">
        <f>IFERROR('Cash Flow Data'!H4,0)</f>
        <v>-11</v>
      </c>
      <c r="I72" s="86">
        <f>IFERROR('Cash Flow Data'!I4,0)</f>
        <v>-109</v>
      </c>
      <c r="J72" s="86">
        <f>IFERROR('Cash Flow Data'!J4,0)</f>
        <v>-70</v>
      </c>
      <c r="K72" s="86">
        <f>IFERROR('Cash Flow Data'!K4,0)</f>
        <v>34</v>
      </c>
      <c r="O72" s="64"/>
      <c r="P72" s="64"/>
      <c r="Q72" s="64"/>
    </row>
    <row r="73" spans="1:17" x14ac:dyDescent="0.35">
      <c r="B73" t="s">
        <v>38</v>
      </c>
      <c r="C73" s="86">
        <f>IFERROR('Cash Flow Data'!C5,0)</f>
        <v>-63</v>
      </c>
      <c r="D73" s="86">
        <f>IFERROR('Cash Flow Data'!D5,0)</f>
        <v>-318</v>
      </c>
      <c r="E73" s="86">
        <f>IFERROR('Cash Flow Data'!E5,0)</f>
        <v>-133</v>
      </c>
      <c r="F73" s="86">
        <f>IFERROR('Cash Flow Data'!F5,0)</f>
        <v>-169</v>
      </c>
      <c r="G73" s="86">
        <f>IFERROR('Cash Flow Data'!G5,0)</f>
        <v>-336</v>
      </c>
      <c r="H73" s="86">
        <f>IFERROR('Cash Flow Data'!H5,0)</f>
        <v>56</v>
      </c>
      <c r="I73" s="86">
        <f>IFERROR('Cash Flow Data'!I5,0)</f>
        <v>-161</v>
      </c>
      <c r="J73" s="86">
        <f>IFERROR('Cash Flow Data'!J5,0)</f>
        <v>-767</v>
      </c>
      <c r="K73" s="86">
        <f>IFERROR('Cash Flow Data'!K5,0)</f>
        <v>281</v>
      </c>
      <c r="O73" s="64"/>
      <c r="P73" s="64"/>
      <c r="Q73" s="64"/>
    </row>
    <row r="74" spans="1:17" x14ac:dyDescent="0.35">
      <c r="B74" t="s">
        <v>99</v>
      </c>
      <c r="C74" s="86">
        <f>IFERROR('Cash Flow Data'!C6,0)</f>
        <v>257</v>
      </c>
      <c r="D74" s="86">
        <f>IFERROR('Cash Flow Data'!D6,0)</f>
        <v>253</v>
      </c>
      <c r="E74" s="86">
        <f>IFERROR('Cash Flow Data'!E6,0)</f>
        <v>23</v>
      </c>
      <c r="F74" s="86">
        <f>IFERROR('Cash Flow Data'!F6,0)</f>
        <v>217</v>
      </c>
      <c r="G74" s="86">
        <f>IFERROR('Cash Flow Data'!G6,0)</f>
        <v>178</v>
      </c>
      <c r="H74" s="86">
        <f>IFERROR('Cash Flow Data'!H6,0)</f>
        <v>68</v>
      </c>
      <c r="I74" s="86">
        <f>IFERROR('Cash Flow Data'!I6,0)</f>
        <v>310</v>
      </c>
      <c r="J74" s="86">
        <f>IFERROR('Cash Flow Data'!J6,0)</f>
        <v>134</v>
      </c>
      <c r="K74" s="86">
        <f>IFERROR('Cash Flow Data'!K6,0)</f>
        <v>588</v>
      </c>
      <c r="O74" s="64"/>
      <c r="P74" s="64"/>
      <c r="Q74" s="64"/>
    </row>
    <row r="75" spans="1:17" x14ac:dyDescent="0.35">
      <c r="B75" t="s">
        <v>100</v>
      </c>
      <c r="C75" s="86">
        <f>IFERROR('Cash Flow Data'!C7,0)</f>
        <v>0</v>
      </c>
      <c r="D75" s="86">
        <f>IFERROR('Cash Flow Data'!D7,0)</f>
        <v>0</v>
      </c>
      <c r="E75" s="86">
        <f>IFERROR('Cash Flow Data'!E7,0)</f>
        <v>0</v>
      </c>
      <c r="F75" s="86">
        <f>IFERROR('Cash Flow Data'!F7,0)</f>
        <v>-40</v>
      </c>
      <c r="G75" s="86">
        <f>IFERROR('Cash Flow Data'!G7,0)</f>
        <v>-30</v>
      </c>
      <c r="H75" s="86">
        <f>IFERROR('Cash Flow Data'!H7,0)</f>
        <v>-30</v>
      </c>
      <c r="I75" s="86">
        <f>IFERROR('Cash Flow Data'!I7,0)</f>
        <v>-21</v>
      </c>
      <c r="J75" s="86">
        <f>IFERROR('Cash Flow Data'!J7,0)</f>
        <v>-199</v>
      </c>
      <c r="K75" s="86">
        <f>IFERROR('Cash Flow Data'!K7,0)</f>
        <v>-73</v>
      </c>
      <c r="O75" s="64"/>
      <c r="P75" s="64"/>
      <c r="Q75" s="64"/>
    </row>
    <row r="76" spans="1:17" x14ac:dyDescent="0.35">
      <c r="B76" t="s">
        <v>101</v>
      </c>
      <c r="C76" s="86">
        <f>IFERROR('Cash Flow Data'!C9,0)</f>
        <v>255</v>
      </c>
      <c r="D76" s="86">
        <f>IFERROR('Cash Flow Data'!D9,0)</f>
        <v>227</v>
      </c>
      <c r="E76" s="86">
        <f>IFERROR('Cash Flow Data'!E9,0)</f>
        <v>249</v>
      </c>
      <c r="F76" s="86">
        <f>IFERROR('Cash Flow Data'!F9,0)</f>
        <v>-179</v>
      </c>
      <c r="G76" s="86">
        <f>IFERROR('Cash Flow Data'!G9,0)</f>
        <v>185</v>
      </c>
      <c r="H76" s="86">
        <f>IFERROR('Cash Flow Data'!H9,0)</f>
        <v>-19</v>
      </c>
      <c r="I76" s="86">
        <f>IFERROR('Cash Flow Data'!I9,0)</f>
        <v>-268</v>
      </c>
      <c r="J76" s="86">
        <f>IFERROR('Cash Flow Data'!J9,0)</f>
        <v>155</v>
      </c>
      <c r="K76" s="86">
        <f>IFERROR('Cash Flow Data'!K9,0)</f>
        <v>-37</v>
      </c>
      <c r="O76" s="64"/>
      <c r="P76" s="64"/>
      <c r="Q76" s="64"/>
    </row>
    <row r="77" spans="1:17" x14ac:dyDescent="0.35">
      <c r="B77" t="s">
        <v>102</v>
      </c>
      <c r="C77" s="86">
        <f>IFERROR('Cash Flow Data'!C10,0)</f>
        <v>413</v>
      </c>
      <c r="D77" s="86">
        <f>IFERROR('Cash Flow Data'!D10,0)</f>
        <v>163</v>
      </c>
      <c r="E77" s="86">
        <f>IFERROR('Cash Flow Data'!E10,0)</f>
        <v>97</v>
      </c>
      <c r="F77" s="86">
        <f>IFERROR('Cash Flow Data'!F10,0)</f>
        <v>-172</v>
      </c>
      <c r="G77" s="86">
        <f>IFERROR('Cash Flow Data'!G10,0)</f>
        <v>-30</v>
      </c>
      <c r="H77" s="86">
        <f>IFERROR('Cash Flow Data'!H10,0)</f>
        <v>63</v>
      </c>
      <c r="I77" s="86">
        <f>IFERROR('Cash Flow Data'!I10,0)</f>
        <v>-249</v>
      </c>
      <c r="J77" s="86">
        <f>IFERROR('Cash Flow Data'!J10,0)</f>
        <v>-747</v>
      </c>
      <c r="K77" s="86">
        <f>IFERROR('Cash Flow Data'!K10,0)</f>
        <v>793</v>
      </c>
      <c r="O77" s="64"/>
      <c r="P77" s="64"/>
      <c r="Q77" s="64"/>
    </row>
    <row r="78" spans="1:17" x14ac:dyDescent="0.35">
      <c r="B78" t="s">
        <v>103</v>
      </c>
      <c r="C78" s="86">
        <f>IFERROR('Cash Flow Data'!C11,0)</f>
        <v>-881</v>
      </c>
      <c r="D78" s="86">
        <f>IFERROR('Cash Flow Data'!D11,0)</f>
        <v>-673</v>
      </c>
      <c r="E78" s="86">
        <f>IFERROR('Cash Flow Data'!E11,0)</f>
        <v>-703</v>
      </c>
      <c r="F78" s="86">
        <f>IFERROR('Cash Flow Data'!F11,0)</f>
        <v>-729</v>
      </c>
      <c r="G78" s="86">
        <f>IFERROR('Cash Flow Data'!G11,0)</f>
        <v>-841</v>
      </c>
      <c r="H78" s="86">
        <f>IFERROR('Cash Flow Data'!H11,0)</f>
        <v>-1059</v>
      </c>
      <c r="I78" s="86">
        <f>IFERROR('Cash Flow Data'!I11,0)</f>
        <v>-1299</v>
      </c>
      <c r="J78" s="86">
        <f>IFERROR('Cash Flow Data'!J11,0)</f>
        <v>-990</v>
      </c>
      <c r="K78" s="86">
        <f>IFERROR('Cash Flow Data'!K11,0)</f>
        <v>-1071</v>
      </c>
      <c r="O78" s="64"/>
      <c r="P78" s="64"/>
      <c r="Q78" s="64"/>
    </row>
    <row r="79" spans="1:17" x14ac:dyDescent="0.35">
      <c r="B79" s="2" t="s">
        <v>97</v>
      </c>
      <c r="C79" s="87">
        <f>IFERROR('Cash Flow Data'!C2,0)</f>
        <v>2052</v>
      </c>
      <c r="D79" s="87">
        <f>IFERROR('Cash Flow Data'!D2,0)</f>
        <v>2295</v>
      </c>
      <c r="E79" s="87">
        <f>IFERROR('Cash Flow Data'!E2,0)</f>
        <v>2454</v>
      </c>
      <c r="F79" s="87">
        <f>IFERROR('Cash Flow Data'!F2,0)</f>
        <v>2236</v>
      </c>
      <c r="G79" s="87">
        <f>IFERROR('Cash Flow Data'!G2,0)</f>
        <v>2737</v>
      </c>
      <c r="H79" s="87">
        <f>IFERROR('Cash Flow Data'!H2,0)</f>
        <v>3392</v>
      </c>
      <c r="I79" s="87">
        <f>IFERROR('Cash Flow Data'!I2,0)</f>
        <v>4175</v>
      </c>
      <c r="J79" s="87">
        <f>IFERROR('Cash Flow Data'!J2,0)</f>
        <v>2935</v>
      </c>
      <c r="K79" s="87">
        <f>IFERROR('Cash Flow Data'!K2,0)</f>
        <v>5048</v>
      </c>
      <c r="O79" s="65"/>
      <c r="P79" s="65"/>
      <c r="Q79" s="65"/>
    </row>
    <row r="80" spans="1:17" x14ac:dyDescent="0.35">
      <c r="C80" s="88"/>
      <c r="D80" s="88"/>
      <c r="E80" s="88"/>
      <c r="F80" s="88"/>
      <c r="G80" s="88"/>
      <c r="H80" s="88"/>
      <c r="I80" s="88"/>
      <c r="J80" s="88"/>
      <c r="K80" s="88"/>
    </row>
    <row r="81" spans="2:17" s="2" customFormat="1" x14ac:dyDescent="0.35">
      <c r="B81" s="2" t="s">
        <v>126</v>
      </c>
      <c r="C81" s="87"/>
      <c r="D81" s="87"/>
      <c r="E81" s="87"/>
      <c r="F81" s="87"/>
      <c r="G81" s="87"/>
      <c r="H81" s="87"/>
      <c r="I81" s="87"/>
      <c r="J81" s="87"/>
      <c r="K81" s="87"/>
      <c r="O81" s="25"/>
      <c r="P81" s="25"/>
      <c r="Q81" s="25"/>
    </row>
    <row r="82" spans="2:17" x14ac:dyDescent="0.35">
      <c r="B82" t="s">
        <v>105</v>
      </c>
      <c r="C82" s="86">
        <f>IFERROR('Cash Flow Data'!C13,0)</f>
        <v>-166</v>
      </c>
      <c r="D82" s="86">
        <f>IFERROR('Cash Flow Data'!D13,0)</f>
        <v>-155</v>
      </c>
      <c r="E82" s="86">
        <f>IFERROR('Cash Flow Data'!E13,0)</f>
        <v>-478</v>
      </c>
      <c r="F82" s="86">
        <f>IFERROR('Cash Flow Data'!F13,0)</f>
        <v>-735</v>
      </c>
      <c r="G82" s="86">
        <f>IFERROR('Cash Flow Data'!G13,0)</f>
        <v>-550</v>
      </c>
      <c r="H82" s="86">
        <f>IFERROR('Cash Flow Data'!H13,0)</f>
        <v>-1371</v>
      </c>
      <c r="I82" s="86">
        <f>IFERROR('Cash Flow Data'!I13,0)</f>
        <v>-1883</v>
      </c>
      <c r="J82" s="86">
        <f>IFERROR('Cash Flow Data'!J13,0)</f>
        <v>-2009</v>
      </c>
      <c r="K82" s="86">
        <f>IFERROR('Cash Flow Data'!K13,0)</f>
        <v>-830</v>
      </c>
      <c r="O82" s="64"/>
      <c r="P82" s="64"/>
      <c r="Q82" s="64"/>
    </row>
    <row r="83" spans="2:17" x14ac:dyDescent="0.35">
      <c r="B83" t="s">
        <v>106</v>
      </c>
      <c r="C83" s="86">
        <f>IFERROR('Cash Flow Data'!C14,0)</f>
        <v>3</v>
      </c>
      <c r="D83" s="86">
        <f>IFERROR('Cash Flow Data'!D14,0)</f>
        <v>2</v>
      </c>
      <c r="E83" s="86">
        <f>IFERROR('Cash Flow Data'!E14,0)</f>
        <v>4</v>
      </c>
      <c r="F83" s="86">
        <f>IFERROR('Cash Flow Data'!F14,0)</f>
        <v>4</v>
      </c>
      <c r="G83" s="86">
        <f>IFERROR('Cash Flow Data'!G14,0)</f>
        <v>9</v>
      </c>
      <c r="H83" s="86">
        <f>IFERROR('Cash Flow Data'!H14,0)</f>
        <v>7</v>
      </c>
      <c r="I83" s="86">
        <f>IFERROR('Cash Flow Data'!I14,0)</f>
        <v>4</v>
      </c>
      <c r="J83" s="86">
        <f>IFERROR('Cash Flow Data'!J14,0)</f>
        <v>4</v>
      </c>
      <c r="K83" s="86">
        <f>IFERROR('Cash Flow Data'!K14,0)</f>
        <v>3</v>
      </c>
      <c r="O83" s="64"/>
      <c r="P83" s="64"/>
      <c r="Q83" s="64"/>
    </row>
    <row r="84" spans="2:17" x14ac:dyDescent="0.35">
      <c r="B84" t="s">
        <v>107</v>
      </c>
      <c r="C84" s="86">
        <f>IFERROR('Cash Flow Data'!C15,0)</f>
        <v>-160</v>
      </c>
      <c r="D84" s="86">
        <f>IFERROR('Cash Flow Data'!D15,0)</f>
        <v>-16</v>
      </c>
      <c r="E84" s="86">
        <f>IFERROR('Cash Flow Data'!E15,0)</f>
        <v>0</v>
      </c>
      <c r="F84" s="86">
        <f>IFERROR('Cash Flow Data'!F15,0)</f>
        <v>0</v>
      </c>
      <c r="G84" s="86">
        <f>IFERROR('Cash Flow Data'!G15,0)</f>
        <v>0</v>
      </c>
      <c r="H84" s="86">
        <f>IFERROR('Cash Flow Data'!H15,0)</f>
        <v>0</v>
      </c>
      <c r="I84" s="86">
        <f>IFERROR('Cash Flow Data'!I15,0)</f>
        <v>0</v>
      </c>
      <c r="J84" s="86">
        <f>IFERROR('Cash Flow Data'!J15,0)</f>
        <v>0</v>
      </c>
      <c r="K84" s="86">
        <f>IFERROR('Cash Flow Data'!K15,0)</f>
        <v>0</v>
      </c>
      <c r="O84" s="64"/>
      <c r="P84" s="64"/>
      <c r="Q84" s="64"/>
    </row>
    <row r="85" spans="2:17" x14ac:dyDescent="0.35">
      <c r="B85" t="s">
        <v>108</v>
      </c>
      <c r="C85" s="86">
        <f>IFERROR('Cash Flow Data'!C16,0)</f>
        <v>0</v>
      </c>
      <c r="D85" s="86">
        <f>IFERROR('Cash Flow Data'!D16,0)</f>
        <v>0</v>
      </c>
      <c r="E85" s="86">
        <f>IFERROR('Cash Flow Data'!E16,0)</f>
        <v>0</v>
      </c>
      <c r="F85" s="86">
        <f>IFERROR('Cash Flow Data'!F16,0)</f>
        <v>0</v>
      </c>
      <c r="G85" s="86">
        <f>IFERROR('Cash Flow Data'!G16,0)</f>
        <v>25</v>
      </c>
      <c r="H85" s="86">
        <f>IFERROR('Cash Flow Data'!H16,0)</f>
        <v>312</v>
      </c>
      <c r="I85" s="86">
        <f>IFERROR('Cash Flow Data'!I16,0)</f>
        <v>284</v>
      </c>
      <c r="J85" s="86">
        <f>IFERROR('Cash Flow Data'!J16,0)</f>
        <v>424</v>
      </c>
      <c r="K85" s="86">
        <f>IFERROR('Cash Flow Data'!K16,0)</f>
        <v>0</v>
      </c>
      <c r="O85" s="64"/>
      <c r="P85" s="64"/>
      <c r="Q85" s="64"/>
    </row>
    <row r="86" spans="2:17" x14ac:dyDescent="0.35">
      <c r="B86" t="s">
        <v>109</v>
      </c>
      <c r="C86" s="86">
        <f>IFERROR('Cash Flow Data'!C17,0)</f>
        <v>237</v>
      </c>
      <c r="D86" s="86">
        <f>IFERROR('Cash Flow Data'!D17,0)</f>
        <v>238</v>
      </c>
      <c r="E86" s="86">
        <f>IFERROR('Cash Flow Data'!E17,0)</f>
        <v>148</v>
      </c>
      <c r="F86" s="86">
        <f>IFERROR('Cash Flow Data'!F17,0)</f>
        <v>125</v>
      </c>
      <c r="G86" s="86">
        <f>IFERROR('Cash Flow Data'!G17,0)</f>
        <v>103</v>
      </c>
      <c r="H86" s="86">
        <f>IFERROR('Cash Flow Data'!H17,0)</f>
        <v>0</v>
      </c>
      <c r="I86" s="86">
        <f>IFERROR('Cash Flow Data'!I17,0)</f>
        <v>167</v>
      </c>
      <c r="J86" s="86">
        <f>IFERROR('Cash Flow Data'!J17,0)</f>
        <v>76</v>
      </c>
      <c r="K86" s="86">
        <f>IFERROR('Cash Flow Data'!K17,0)</f>
        <v>34</v>
      </c>
      <c r="O86" s="64"/>
      <c r="P86" s="64"/>
      <c r="Q86" s="64"/>
    </row>
    <row r="87" spans="2:17" x14ac:dyDescent="0.35">
      <c r="B87" t="s">
        <v>110</v>
      </c>
      <c r="C87" s="86">
        <f>IFERROR('Cash Flow Data'!C18,0)</f>
        <v>19</v>
      </c>
      <c r="D87" s="86">
        <f>IFERROR('Cash Flow Data'!D18,0)</f>
        <v>13</v>
      </c>
      <c r="E87" s="86">
        <f>IFERROR('Cash Flow Data'!E18,0)</f>
        <v>2</v>
      </c>
      <c r="F87" s="86">
        <f>IFERROR('Cash Flow Data'!F18,0)</f>
        <v>0</v>
      </c>
      <c r="G87" s="86">
        <f>IFERROR('Cash Flow Data'!G18,0)</f>
        <v>0</v>
      </c>
      <c r="H87" s="86">
        <f>IFERROR('Cash Flow Data'!H18,0)</f>
        <v>0</v>
      </c>
      <c r="I87" s="86">
        <f>IFERROR('Cash Flow Data'!I18,0)</f>
        <v>0</v>
      </c>
      <c r="J87" s="86">
        <f>IFERROR('Cash Flow Data'!J18,0)</f>
        <v>0</v>
      </c>
      <c r="K87" s="86">
        <f>IFERROR('Cash Flow Data'!K18,0)</f>
        <v>0</v>
      </c>
      <c r="O87" s="64"/>
      <c r="P87" s="64"/>
      <c r="Q87" s="64"/>
    </row>
    <row r="88" spans="2:17" x14ac:dyDescent="0.35">
      <c r="B88" t="s">
        <v>111</v>
      </c>
      <c r="C88" s="86">
        <f>IFERROR('Cash Flow Data'!C19,0)</f>
        <v>0</v>
      </c>
      <c r="D88" s="86">
        <f>IFERROR('Cash Flow Data'!D19,0)</f>
        <v>0</v>
      </c>
      <c r="E88" s="86">
        <f>IFERROR('Cash Flow Data'!E19,0)</f>
        <v>0</v>
      </c>
      <c r="F88" s="86">
        <f>IFERROR('Cash Flow Data'!F19,0)</f>
        <v>0</v>
      </c>
      <c r="G88" s="86">
        <f>IFERROR('Cash Flow Data'!G19,0)</f>
        <v>0</v>
      </c>
      <c r="H88" s="86">
        <f>IFERROR('Cash Flow Data'!H19,0)</f>
        <v>0</v>
      </c>
      <c r="I88" s="86">
        <f>IFERROR('Cash Flow Data'!I19,0)</f>
        <v>0</v>
      </c>
      <c r="J88" s="86">
        <f>IFERROR('Cash Flow Data'!J19,0)</f>
        <v>-706</v>
      </c>
      <c r="K88" s="86">
        <f>IFERROR('Cash Flow Data'!K19,0)</f>
        <v>0</v>
      </c>
      <c r="O88" s="64"/>
      <c r="P88" s="64"/>
      <c r="Q88" s="64"/>
    </row>
    <row r="89" spans="2:17" x14ac:dyDescent="0.35">
      <c r="B89" t="s">
        <v>112</v>
      </c>
      <c r="C89" s="86">
        <v>0</v>
      </c>
      <c r="D89" s="86">
        <v>0</v>
      </c>
      <c r="E89" s="86">
        <v>0</v>
      </c>
      <c r="F89" s="86">
        <v>0</v>
      </c>
      <c r="G89" s="86">
        <v>0</v>
      </c>
      <c r="H89" s="86">
        <v>0</v>
      </c>
      <c r="I89" s="86">
        <v>0</v>
      </c>
      <c r="J89" s="86">
        <v>0</v>
      </c>
      <c r="K89" s="86">
        <v>0</v>
      </c>
      <c r="O89" s="64"/>
      <c r="P89" s="64"/>
      <c r="Q89" s="64"/>
    </row>
    <row r="90" spans="2:17" x14ac:dyDescent="0.35">
      <c r="B90" t="s">
        <v>113</v>
      </c>
      <c r="C90" s="86">
        <f>IFERROR('Cash Flow Data'!C20,0)</f>
        <v>15</v>
      </c>
      <c r="D90" s="86">
        <f>IFERROR('Cash Flow Data'!D20,0)</f>
        <v>0</v>
      </c>
      <c r="E90" s="86">
        <f>IFERROR('Cash Flow Data'!E20,0)</f>
        <v>3</v>
      </c>
      <c r="F90" s="86">
        <f>IFERROR('Cash Flow Data'!F20,0)</f>
        <v>-1314</v>
      </c>
      <c r="G90" s="86">
        <f>IFERROR('Cash Flow Data'!G20,0)</f>
        <v>20</v>
      </c>
      <c r="H90" s="86">
        <f>IFERROR('Cash Flow Data'!H20,0)</f>
        <v>126</v>
      </c>
      <c r="I90" s="86">
        <f>IFERROR('Cash Flow Data'!I20,0)</f>
        <v>190</v>
      </c>
      <c r="J90" s="86">
        <f>IFERROR('Cash Flow Data'!J20,0)</f>
        <v>400</v>
      </c>
      <c r="K90" s="86">
        <f>IFERROR('Cash Flow Data'!K20,0)</f>
        <v>168</v>
      </c>
      <c r="O90" s="64"/>
      <c r="P90" s="64"/>
      <c r="Q90" s="64"/>
    </row>
    <row r="91" spans="2:17" x14ac:dyDescent="0.35">
      <c r="B91" s="2" t="s">
        <v>104</v>
      </c>
      <c r="C91" s="87">
        <f>IFERROR('Cash Flow Data'!C12,0)</f>
        <v>-52</v>
      </c>
      <c r="D91" s="87">
        <f>IFERROR('Cash Flow Data'!D12,0)</f>
        <v>83</v>
      </c>
      <c r="E91" s="87">
        <f>IFERROR('Cash Flow Data'!E12,0)</f>
        <v>-321</v>
      </c>
      <c r="F91" s="87">
        <f>IFERROR('Cash Flow Data'!F12,0)</f>
        <v>-1920</v>
      </c>
      <c r="G91" s="87">
        <f>IFERROR('Cash Flow Data'!G12,0)</f>
        <v>-392</v>
      </c>
      <c r="H91" s="87">
        <f>IFERROR('Cash Flow Data'!H12,0)</f>
        <v>-927</v>
      </c>
      <c r="I91" s="87">
        <f>IFERROR('Cash Flow Data'!I12,0)</f>
        <v>-1237</v>
      </c>
      <c r="J91" s="87">
        <f>IFERROR('Cash Flow Data'!J12,0)</f>
        <v>-1811</v>
      </c>
      <c r="K91" s="87">
        <f>IFERROR('Cash Flow Data'!K12,0)</f>
        <v>-624</v>
      </c>
      <c r="O91" s="65"/>
      <c r="P91" s="65"/>
      <c r="Q91" s="65"/>
    </row>
    <row r="92" spans="2:17" x14ac:dyDescent="0.35">
      <c r="C92" s="88"/>
      <c r="D92" s="88"/>
      <c r="E92" s="88"/>
      <c r="F92" s="88"/>
      <c r="G92" s="88"/>
      <c r="H92" s="88"/>
      <c r="I92" s="88"/>
      <c r="J92" s="88"/>
      <c r="K92" s="88"/>
    </row>
    <row r="93" spans="2:17" s="2" customFormat="1" x14ac:dyDescent="0.35">
      <c r="B93" s="2" t="s">
        <v>127</v>
      </c>
      <c r="C93" s="89"/>
      <c r="D93" s="89"/>
      <c r="E93" s="89"/>
      <c r="F93" s="89"/>
      <c r="G93" s="89"/>
      <c r="H93" s="89"/>
      <c r="I93" s="89"/>
      <c r="J93" s="89"/>
      <c r="K93" s="89"/>
      <c r="O93" s="26"/>
      <c r="P93" s="26"/>
      <c r="Q93" s="26"/>
    </row>
    <row r="94" spans="2:17" x14ac:dyDescent="0.35">
      <c r="B94" t="s">
        <v>115</v>
      </c>
      <c r="C94" s="86">
        <v>0</v>
      </c>
      <c r="D94" s="86">
        <v>0</v>
      </c>
      <c r="E94" s="86">
        <v>0</v>
      </c>
      <c r="F94" s="86">
        <v>0</v>
      </c>
      <c r="G94" s="86">
        <v>0</v>
      </c>
      <c r="H94" s="86">
        <v>0</v>
      </c>
      <c r="I94" s="86">
        <v>0</v>
      </c>
      <c r="J94" s="86">
        <v>0</v>
      </c>
      <c r="K94" s="86">
        <v>0</v>
      </c>
      <c r="O94" s="64"/>
      <c r="P94" s="64"/>
      <c r="Q94" s="64"/>
    </row>
    <row r="95" spans="2:17" x14ac:dyDescent="0.35">
      <c r="B95" t="s">
        <v>116</v>
      </c>
      <c r="C95" s="86">
        <f>IFERROR('Cash Flow Data'!C22,0)</f>
        <v>0</v>
      </c>
      <c r="D95" s="86">
        <f>IFERROR('Cash Flow Data'!D22,0)</f>
        <v>0</v>
      </c>
      <c r="E95" s="86">
        <f>IFERROR('Cash Flow Data'!E22,0)</f>
        <v>0</v>
      </c>
      <c r="F95" s="86">
        <f>IFERROR('Cash Flow Data'!F22,0)</f>
        <v>24</v>
      </c>
      <c r="G95" s="86">
        <f>IFERROR('Cash Flow Data'!G22,0)</f>
        <v>0</v>
      </c>
      <c r="H95" s="86">
        <f>IFERROR('Cash Flow Data'!H22,0)</f>
        <v>0</v>
      </c>
      <c r="I95" s="86">
        <f>IFERROR('Cash Flow Data'!I22,0)</f>
        <v>0</v>
      </c>
      <c r="J95" s="86">
        <f>IFERROR('Cash Flow Data'!J22,0)</f>
        <v>726</v>
      </c>
      <c r="K95" s="86">
        <f>IFERROR('Cash Flow Data'!K22,0)</f>
        <v>0</v>
      </c>
      <c r="O95" s="64"/>
      <c r="P95" s="64"/>
      <c r="Q95" s="64"/>
    </row>
    <row r="96" spans="2:17" x14ac:dyDescent="0.35">
      <c r="B96" t="s">
        <v>117</v>
      </c>
      <c r="C96" s="86">
        <f>IFERROR('Cash Flow Data'!C23,0)</f>
        <v>0</v>
      </c>
      <c r="D96" s="86">
        <f>IFERROR('Cash Flow Data'!D23,0)</f>
        <v>0</v>
      </c>
      <c r="E96" s="86">
        <f>IFERROR('Cash Flow Data'!E23,0)</f>
        <v>0</v>
      </c>
      <c r="F96" s="86">
        <f>IFERROR('Cash Flow Data'!F23,0)</f>
        <v>-24</v>
      </c>
      <c r="G96" s="86">
        <f>IFERROR('Cash Flow Data'!G23,0)</f>
        <v>0</v>
      </c>
      <c r="H96" s="86">
        <f>IFERROR('Cash Flow Data'!H23,0)</f>
        <v>0</v>
      </c>
      <c r="I96" s="86">
        <f>IFERROR('Cash Flow Data'!I23,0)</f>
        <v>0</v>
      </c>
      <c r="J96" s="86">
        <f>IFERROR('Cash Flow Data'!J23,0)</f>
        <v>0</v>
      </c>
      <c r="K96" s="86">
        <f>IFERROR('Cash Flow Data'!K23,0)</f>
        <v>-726</v>
      </c>
      <c r="O96" s="64"/>
      <c r="P96" s="64"/>
      <c r="Q96" s="64"/>
    </row>
    <row r="97" spans="2:17" x14ac:dyDescent="0.35">
      <c r="B97" t="s">
        <v>118</v>
      </c>
      <c r="C97" s="86">
        <f>IFERROR('Cash Flow Data'!C25,0)</f>
        <v>-4</v>
      </c>
      <c r="D97" s="86">
        <f>IFERROR('Cash Flow Data'!D25,0)</f>
        <v>-63</v>
      </c>
      <c r="E97" s="86">
        <f>IFERROR('Cash Flow Data'!E25,0)</f>
        <v>-69</v>
      </c>
      <c r="F97" s="86">
        <f>IFERROR('Cash Flow Data'!F25,0)</f>
        <v>-9</v>
      </c>
      <c r="G97" s="86">
        <f>IFERROR('Cash Flow Data'!G25,0)</f>
        <v>-18</v>
      </c>
      <c r="H97" s="86">
        <f>IFERROR('Cash Flow Data'!H25,0)</f>
        <v>-20</v>
      </c>
      <c r="I97" s="86">
        <f>IFERROR('Cash Flow Data'!I25,0)</f>
        <v>-26</v>
      </c>
      <c r="J97" s="86">
        <f>IFERROR('Cash Flow Data'!J25,0)</f>
        <v>-34</v>
      </c>
      <c r="K97" s="86">
        <f>IFERROR('Cash Flow Data'!K25,0)</f>
        <v>-50</v>
      </c>
      <c r="O97" s="64"/>
      <c r="P97" s="64"/>
      <c r="Q97" s="64"/>
    </row>
    <row r="98" spans="2:17" x14ac:dyDescent="0.35">
      <c r="B98" t="s">
        <v>119</v>
      </c>
      <c r="C98" s="86">
        <f>IFERROR('Cash Flow Data'!C26,0)</f>
        <v>-1090</v>
      </c>
      <c r="D98" s="86">
        <f>IFERROR('Cash Flow Data'!D26,0)</f>
        <v>-2950</v>
      </c>
      <c r="E98" s="86">
        <f>IFERROR('Cash Flow Data'!E26,0)</f>
        <v>-1890</v>
      </c>
      <c r="F98" s="86">
        <f>IFERROR('Cash Flow Data'!F26,0)</f>
        <v>-1928</v>
      </c>
      <c r="G98" s="86">
        <f>IFERROR('Cash Flow Data'!G26,0)</f>
        <v>-2025</v>
      </c>
      <c r="H98" s="86">
        <f>IFERROR('Cash Flow Data'!H26,0)</f>
        <v>-2333</v>
      </c>
      <c r="I98" s="86">
        <f>IFERROR('Cash Flow Data'!I26,0)</f>
        <v>-3008</v>
      </c>
      <c r="J98" s="86">
        <f>IFERROR('Cash Flow Data'!J26,0)</f>
        <v>-2459</v>
      </c>
      <c r="K98" s="86">
        <f>IFERROR('Cash Flow Data'!K26,0)</f>
        <v>-2314</v>
      </c>
      <c r="O98" s="64"/>
      <c r="P98" s="64"/>
      <c r="Q98" s="64"/>
    </row>
    <row r="99" spans="2:17" x14ac:dyDescent="0.35">
      <c r="B99" t="s">
        <v>120</v>
      </c>
      <c r="C99" s="86">
        <f>IFERROR('Cash Flow Data'!C27,0)</f>
        <v>0</v>
      </c>
      <c r="D99" s="86">
        <f>IFERROR('Cash Flow Data'!D27,0)</f>
        <v>0</v>
      </c>
      <c r="E99" s="86">
        <f>IFERROR('Cash Flow Data'!E27,0)</f>
        <v>0</v>
      </c>
      <c r="F99" s="86">
        <f>IFERROR('Cash Flow Data'!F27,0)</f>
        <v>-79</v>
      </c>
      <c r="G99" s="86">
        <f>IFERROR('Cash Flow Data'!G27,0)</f>
        <v>-73</v>
      </c>
      <c r="H99" s="86">
        <f>IFERROR('Cash Flow Data'!H27,0)</f>
        <v>-166</v>
      </c>
      <c r="I99" s="86">
        <f>IFERROR('Cash Flow Data'!I27,0)</f>
        <v>-100</v>
      </c>
      <c r="J99" s="86">
        <f>IFERROR('Cash Flow Data'!J27,0)</f>
        <v>-76</v>
      </c>
      <c r="K99" s="86">
        <f>IFERROR('Cash Flow Data'!K27,0)</f>
        <v>-86</v>
      </c>
      <c r="O99" s="64"/>
      <c r="P99" s="64"/>
      <c r="Q99" s="64"/>
    </row>
    <row r="100" spans="2:17" x14ac:dyDescent="0.35">
      <c r="B100" t="s">
        <v>121</v>
      </c>
      <c r="C100" s="86">
        <f>IFERROR('Cash Flow Data'!C28,0)</f>
        <v>-224</v>
      </c>
      <c r="D100" s="86">
        <f>IFERROR('Cash Flow Data'!D28,0)</f>
        <v>-588</v>
      </c>
      <c r="E100" s="86">
        <f>IFERROR('Cash Flow Data'!E28,0)</f>
        <v>3</v>
      </c>
      <c r="F100" s="86">
        <f>IFERROR('Cash Flow Data'!F28,0)</f>
        <v>-3</v>
      </c>
      <c r="G100" s="86">
        <f>IFERROR('Cash Flow Data'!G28,0)</f>
        <v>-7</v>
      </c>
      <c r="H100" s="86">
        <f>IFERROR('Cash Flow Data'!H28,0)</f>
        <v>83</v>
      </c>
      <c r="I100" s="86">
        <f>IFERROR('Cash Flow Data'!I28,0)</f>
        <v>-1</v>
      </c>
      <c r="J100" s="86">
        <f>IFERROR('Cash Flow Data'!J28,0)</f>
        <v>-4</v>
      </c>
      <c r="K100" s="86">
        <f>IFERROR('Cash Flow Data'!K28,0)</f>
        <v>-3</v>
      </c>
      <c r="O100" s="64"/>
      <c r="P100" s="64"/>
      <c r="Q100" s="64"/>
    </row>
    <row r="101" spans="2:17" x14ac:dyDescent="0.35">
      <c r="B101" s="2" t="s">
        <v>114</v>
      </c>
      <c r="C101" s="86">
        <f>IFERROR('Cash Flow Data'!C21,0)</f>
        <v>-1317</v>
      </c>
      <c r="D101" s="86">
        <f>IFERROR('Cash Flow Data'!D21,0)</f>
        <v>-3602</v>
      </c>
      <c r="E101" s="86">
        <f>IFERROR('Cash Flow Data'!E21,0)</f>
        <v>-1956</v>
      </c>
      <c r="F101" s="86">
        <f>IFERROR('Cash Flow Data'!F21,0)</f>
        <v>-2020</v>
      </c>
      <c r="G101" s="86">
        <f>IFERROR('Cash Flow Data'!G21,0)</f>
        <v>-2123</v>
      </c>
      <c r="H101" s="86">
        <f>IFERROR('Cash Flow Data'!H21,0)</f>
        <v>-2436</v>
      </c>
      <c r="I101" s="86">
        <f>IFERROR('Cash Flow Data'!I21,0)</f>
        <v>-3135</v>
      </c>
      <c r="J101" s="86">
        <f>IFERROR('Cash Flow Data'!J21,0)</f>
        <v>-1846</v>
      </c>
      <c r="K101" s="86">
        <f>IFERROR('Cash Flow Data'!K21,0)</f>
        <v>-3179</v>
      </c>
      <c r="O101" s="64"/>
      <c r="P101" s="64"/>
      <c r="Q101" s="64"/>
    </row>
    <row r="102" spans="2:17" x14ac:dyDescent="0.35">
      <c r="C102" s="88"/>
      <c r="D102" s="88"/>
      <c r="E102" s="88"/>
      <c r="F102" s="88"/>
      <c r="G102" s="88"/>
      <c r="H102" s="88"/>
      <c r="I102" s="88"/>
      <c r="J102" s="88"/>
      <c r="K102" s="88"/>
    </row>
    <row r="103" spans="2:17" s="2" customFormat="1" x14ac:dyDescent="0.35">
      <c r="B103" s="2" t="s">
        <v>28</v>
      </c>
      <c r="C103" s="87">
        <f t="shared" ref="C103:G103" si="42">SUM(C79,C91,C101)</f>
        <v>683</v>
      </c>
      <c r="D103" s="87">
        <f t="shared" si="42"/>
        <v>-1224</v>
      </c>
      <c r="E103" s="87">
        <f t="shared" si="42"/>
        <v>177</v>
      </c>
      <c r="F103" s="87">
        <f t="shared" si="42"/>
        <v>-1704</v>
      </c>
      <c r="G103" s="87">
        <f t="shared" si="42"/>
        <v>222</v>
      </c>
      <c r="H103" s="87">
        <f>SUM(H79,H91,H101)</f>
        <v>29</v>
      </c>
      <c r="I103" s="87">
        <f>SUM(I79,I91,I101)</f>
        <v>-197</v>
      </c>
      <c r="J103" s="87">
        <f>SUM(J79,J91,J101)</f>
        <v>-722</v>
      </c>
      <c r="K103" s="87">
        <f>SUM(K79,K91,K101)</f>
        <v>1245</v>
      </c>
      <c r="O103" s="66"/>
      <c r="P103" s="66"/>
      <c r="Q103" s="66"/>
    </row>
  </sheetData>
  <mergeCells count="1">
    <mergeCell ref="B2:K2"/>
  </mergeCells>
  <pageMargins left="0.7" right="0.7" top="0.75" bottom="0.75" header="0.3" footer="0.3"/>
  <ignoredErrors>
    <ignoredError sqref="H13:I13 J13:K13 C13:G1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showGridLines="0" zoomScale="120" zoomScaleNormal="120" zoomScalePageLayoutView="120" workbookViewId="0">
      <pane xSplit="1" ySplit="1" topLeftCell="B14" activePane="bottomRight" state="frozen"/>
      <selection activeCell="C4" sqref="C4"/>
      <selection pane="topRight" activeCell="C4" sqref="C4"/>
      <selection pane="bottomLeft" activeCell="C4" sqref="C4"/>
      <selection pane="bottomRight" activeCell="J59" sqref="J59"/>
    </sheetView>
  </sheetViews>
  <sheetFormatPr defaultColWidth="8.81640625" defaultRowHeight="14.5" x14ac:dyDescent="0.35"/>
  <cols>
    <col min="1" max="1" width="27.6328125" style="3" bestFit="1" customWidth="1"/>
    <col min="2" max="11" width="13.453125" style="3" bestFit="1" customWidth="1"/>
    <col min="12" max="16384" width="8.81640625" style="3"/>
  </cols>
  <sheetData>
    <row r="1" spans="1:11" s="1" customFormat="1" x14ac:dyDescent="0.35">
      <c r="A1" s="1" t="s">
        <v>0</v>
      </c>
      <c r="B1" s="1" t="s">
        <v>47</v>
      </c>
      <c r="E1" s="62" t="str">
        <f>IF(B2&lt;&gt;B3, "A NEW VERSION OF THE WORKSHEET IS AVAILABLE", "")</f>
        <v/>
      </c>
      <c r="F1" s="62"/>
      <c r="G1" s="62"/>
      <c r="H1" s="62"/>
      <c r="I1" s="62"/>
      <c r="J1" s="62"/>
      <c r="K1" s="62"/>
    </row>
    <row r="2" spans="1:11" x14ac:dyDescent="0.35">
      <c r="A2" s="1" t="s">
        <v>45</v>
      </c>
      <c r="B2" s="3">
        <v>2.1</v>
      </c>
      <c r="E2" s="63" t="s">
        <v>29</v>
      </c>
      <c r="F2" s="63"/>
      <c r="G2" s="63"/>
      <c r="H2" s="63"/>
      <c r="I2" s="63"/>
      <c r="J2" s="63"/>
      <c r="K2" s="63"/>
    </row>
    <row r="3" spans="1:11" x14ac:dyDescent="0.35">
      <c r="A3" s="1" t="s">
        <v>46</v>
      </c>
      <c r="B3" s="3">
        <v>2.1</v>
      </c>
    </row>
    <row r="4" spans="1:11" x14ac:dyDescent="0.35">
      <c r="A4" s="1"/>
    </row>
    <row r="5" spans="1:11" x14ac:dyDescent="0.35">
      <c r="A5" s="1" t="s">
        <v>48</v>
      </c>
    </row>
    <row r="6" spans="1:11" x14ac:dyDescent="0.35">
      <c r="A6" s="3" t="s">
        <v>35</v>
      </c>
      <c r="B6" s="3">
        <f>IF(B9&gt;0, B9/B8, 0)</f>
        <v>192.8314251618269</v>
      </c>
    </row>
    <row r="7" spans="1:11" x14ac:dyDescent="0.35">
      <c r="A7" s="3" t="s">
        <v>24</v>
      </c>
      <c r="B7">
        <v>1</v>
      </c>
    </row>
    <row r="8" spans="1:11" x14ac:dyDescent="0.35">
      <c r="A8" s="3" t="s">
        <v>36</v>
      </c>
      <c r="B8">
        <v>1382.65</v>
      </c>
    </row>
    <row r="9" spans="1:11" x14ac:dyDescent="0.35">
      <c r="A9" s="3" t="s">
        <v>58</v>
      </c>
      <c r="B9">
        <v>266618.37</v>
      </c>
    </row>
    <row r="15" spans="1:11" x14ac:dyDescent="0.35">
      <c r="A15" s="1" t="s">
        <v>30</v>
      </c>
    </row>
    <row r="16" spans="1:11" s="9" customFormat="1" x14ac:dyDescent="0.35">
      <c r="A16" s="8" t="s">
        <v>31</v>
      </c>
      <c r="B16" s="14">
        <v>43100</v>
      </c>
      <c r="C16" s="14">
        <v>43465</v>
      </c>
      <c r="D16" s="14">
        <v>43830</v>
      </c>
      <c r="E16" s="14">
        <v>44196</v>
      </c>
      <c r="F16" s="14">
        <v>44561</v>
      </c>
      <c r="G16" s="14">
        <v>44926</v>
      </c>
      <c r="H16" s="14">
        <v>45291</v>
      </c>
      <c r="I16" s="14">
        <v>45382</v>
      </c>
      <c r="J16" s="14">
        <v>45747</v>
      </c>
      <c r="K16" s="14">
        <v>46112</v>
      </c>
    </row>
    <row r="17" spans="1:11" s="4" customFormat="1" x14ac:dyDescent="0.35">
      <c r="A17" s="4" t="s">
        <v>3</v>
      </c>
      <c r="B17">
        <v>10009.6</v>
      </c>
      <c r="C17">
        <v>11292.27</v>
      </c>
      <c r="D17">
        <v>12368.9</v>
      </c>
      <c r="E17">
        <v>13350.03</v>
      </c>
      <c r="F17">
        <v>14740.59</v>
      </c>
      <c r="G17">
        <v>16896.96</v>
      </c>
      <c r="H17">
        <v>19126.3</v>
      </c>
      <c r="I17">
        <v>24393.89</v>
      </c>
      <c r="J17">
        <v>20201.560000000001</v>
      </c>
      <c r="K17">
        <v>23154.6</v>
      </c>
    </row>
    <row r="18" spans="1:11" s="4" customFormat="1" x14ac:dyDescent="0.35">
      <c r="A18" s="3" t="s">
        <v>59</v>
      </c>
      <c r="B18">
        <v>3696.99</v>
      </c>
      <c r="C18">
        <v>3829.22</v>
      </c>
      <c r="D18">
        <v>4520.91</v>
      </c>
      <c r="E18">
        <v>4901.74</v>
      </c>
      <c r="F18">
        <v>5301.26</v>
      </c>
      <c r="G18">
        <v>6660.42</v>
      </c>
      <c r="H18">
        <v>8472.7199999999993</v>
      </c>
      <c r="I18">
        <v>9201.11</v>
      </c>
      <c r="J18">
        <v>7646.63</v>
      </c>
      <c r="K18">
        <v>9113.9599999999991</v>
      </c>
    </row>
    <row r="19" spans="1:11" s="4" customFormat="1" x14ac:dyDescent="0.35">
      <c r="A19" s="3" t="s">
        <v>60</v>
      </c>
      <c r="B19">
        <v>79.56</v>
      </c>
      <c r="C19">
        <v>6.01</v>
      </c>
      <c r="D19">
        <v>144.19</v>
      </c>
      <c r="E19">
        <v>69.33</v>
      </c>
      <c r="F19">
        <v>67.59</v>
      </c>
      <c r="G19">
        <v>250.27</v>
      </c>
      <c r="H19">
        <v>40.01</v>
      </c>
      <c r="I19">
        <v>45.68</v>
      </c>
      <c r="J19">
        <v>139.66</v>
      </c>
      <c r="K19">
        <v>168.23</v>
      </c>
    </row>
    <row r="20" spans="1:11" s="4" customFormat="1" x14ac:dyDescent="0.35">
      <c r="A20" s="3" t="s">
        <v>61</v>
      </c>
      <c r="B20">
        <v>288.44</v>
      </c>
      <c r="C20">
        <v>344.18</v>
      </c>
      <c r="D20">
        <v>340.53</v>
      </c>
      <c r="E20">
        <v>313.68</v>
      </c>
      <c r="F20">
        <v>408.06</v>
      </c>
      <c r="G20">
        <v>572.61</v>
      </c>
      <c r="I20">
        <v>674.83</v>
      </c>
      <c r="J20">
        <v>541.41999999999996</v>
      </c>
      <c r="K20">
        <v>587.21</v>
      </c>
    </row>
    <row r="21" spans="1:11" s="4" customFormat="1" x14ac:dyDescent="0.35">
      <c r="A21" s="3" t="s">
        <v>62</v>
      </c>
      <c r="B21">
        <v>897.84</v>
      </c>
      <c r="C21">
        <v>949.86</v>
      </c>
      <c r="D21">
        <v>1028.55</v>
      </c>
      <c r="E21">
        <v>1040.3599999999999</v>
      </c>
      <c r="F21">
        <v>1349.48</v>
      </c>
      <c r="G21">
        <v>1603.48</v>
      </c>
      <c r="H21"/>
      <c r="I21">
        <v>1935.4</v>
      </c>
      <c r="J21">
        <v>1582.45</v>
      </c>
      <c r="K21">
        <v>1816.29</v>
      </c>
    </row>
    <row r="22" spans="1:11" s="4" customFormat="1" x14ac:dyDescent="0.35">
      <c r="A22" s="3" t="s">
        <v>63</v>
      </c>
      <c r="B22">
        <v>1017.45</v>
      </c>
      <c r="C22">
        <v>1124.1500000000001</v>
      </c>
      <c r="D22">
        <v>1258.17</v>
      </c>
      <c r="E22">
        <v>1500.95</v>
      </c>
      <c r="F22">
        <v>1529.94</v>
      </c>
      <c r="G22">
        <v>1635.46</v>
      </c>
      <c r="H22">
        <v>1849.18</v>
      </c>
      <c r="I22">
        <v>2336.06</v>
      </c>
      <c r="J22">
        <v>2062.02</v>
      </c>
      <c r="K22">
        <v>2278.41</v>
      </c>
    </row>
    <row r="23" spans="1:11" s="4" customFormat="1" x14ac:dyDescent="0.35">
      <c r="A23" s="3" t="s">
        <v>64</v>
      </c>
      <c r="B23">
        <v>1823.98</v>
      </c>
      <c r="C23">
        <v>2145.8200000000002</v>
      </c>
      <c r="D23">
        <v>2226.13</v>
      </c>
      <c r="E23">
        <v>2246.9</v>
      </c>
      <c r="F23">
        <v>2902.12</v>
      </c>
      <c r="G23">
        <v>3192.15</v>
      </c>
      <c r="H23"/>
      <c r="I23">
        <v>4837.58</v>
      </c>
      <c r="J23">
        <v>4126.54</v>
      </c>
      <c r="K23">
        <v>4780.8999999999996</v>
      </c>
    </row>
    <row r="24" spans="1:11" s="4" customFormat="1" x14ac:dyDescent="0.35">
      <c r="A24" s="3" t="s">
        <v>65</v>
      </c>
      <c r="B24">
        <v>267.93</v>
      </c>
      <c r="C24">
        <v>287.39999999999998</v>
      </c>
      <c r="D24">
        <v>212.92</v>
      </c>
      <c r="E24">
        <v>214.23</v>
      </c>
      <c r="F24">
        <v>-245.08</v>
      </c>
      <c r="G24">
        <v>-223.18</v>
      </c>
      <c r="H24">
        <v>4373.42</v>
      </c>
      <c r="I24">
        <v>-388.53</v>
      </c>
      <c r="J24">
        <v>-389.17</v>
      </c>
      <c r="K24">
        <v>-560.9</v>
      </c>
    </row>
    <row r="25" spans="1:11" s="4" customFormat="1" x14ac:dyDescent="0.35">
      <c r="A25" s="4" t="s">
        <v>6</v>
      </c>
      <c r="B25">
        <v>176.92</v>
      </c>
      <c r="C25">
        <v>258.92</v>
      </c>
      <c r="D25">
        <v>246.88</v>
      </c>
      <c r="E25">
        <v>145.85</v>
      </c>
      <c r="F25">
        <v>-112.38</v>
      </c>
      <c r="G25">
        <v>107.26</v>
      </c>
      <c r="H25">
        <v>115.5</v>
      </c>
      <c r="I25">
        <v>158.99</v>
      </c>
      <c r="J25">
        <v>352.06</v>
      </c>
      <c r="K25">
        <v>160.22999999999999</v>
      </c>
    </row>
    <row r="26" spans="1:11" s="4" customFormat="1" x14ac:dyDescent="0.35">
      <c r="A26" s="4" t="s">
        <v>7</v>
      </c>
      <c r="B26">
        <v>342.25</v>
      </c>
      <c r="C26">
        <v>335.67</v>
      </c>
      <c r="D26">
        <v>370.15</v>
      </c>
      <c r="E26">
        <v>370.38</v>
      </c>
      <c r="F26">
        <v>391.02</v>
      </c>
      <c r="G26">
        <v>403.01</v>
      </c>
      <c r="H26">
        <v>428.91</v>
      </c>
      <c r="I26">
        <v>567.75</v>
      </c>
      <c r="J26">
        <v>539.91999999999996</v>
      </c>
      <c r="K26">
        <v>699.23</v>
      </c>
    </row>
    <row r="27" spans="1:11" s="4" customFormat="1" x14ac:dyDescent="0.35">
      <c r="A27" s="4" t="s">
        <v>8</v>
      </c>
      <c r="B27">
        <v>91.9</v>
      </c>
      <c r="C27">
        <v>111.95</v>
      </c>
      <c r="D27">
        <v>129.12</v>
      </c>
      <c r="E27">
        <v>164.18</v>
      </c>
      <c r="F27">
        <v>201.68</v>
      </c>
      <c r="G27">
        <v>154.57</v>
      </c>
      <c r="H27">
        <v>119.29</v>
      </c>
      <c r="I27">
        <v>145.49</v>
      </c>
      <c r="J27">
        <v>136</v>
      </c>
      <c r="K27">
        <v>158.31</v>
      </c>
    </row>
    <row r="28" spans="1:11" s="4" customFormat="1" x14ac:dyDescent="0.35">
      <c r="A28" s="4" t="s">
        <v>9</v>
      </c>
      <c r="B28">
        <v>1839.3</v>
      </c>
      <c r="C28">
        <v>2428.9499999999998</v>
      </c>
      <c r="D28">
        <v>2673.49</v>
      </c>
      <c r="E28">
        <v>2812.79</v>
      </c>
      <c r="F28">
        <v>2857.32</v>
      </c>
      <c r="G28">
        <v>3255.97</v>
      </c>
      <c r="H28">
        <v>4038.29</v>
      </c>
      <c r="I28">
        <v>5288.87</v>
      </c>
      <c r="J28">
        <v>4447.47</v>
      </c>
      <c r="K28">
        <v>4609.6499999999996</v>
      </c>
    </row>
    <row r="29" spans="1:11" s="4" customFormat="1" x14ac:dyDescent="0.35">
      <c r="A29" s="4" t="s">
        <v>10</v>
      </c>
      <c r="B29">
        <v>614.11</v>
      </c>
      <c r="C29">
        <v>822.02</v>
      </c>
      <c r="D29">
        <v>705.05</v>
      </c>
      <c r="E29">
        <v>730.36</v>
      </c>
      <c r="F29">
        <v>738.91</v>
      </c>
      <c r="G29">
        <v>865.45</v>
      </c>
      <c r="H29">
        <v>1039.6199999999999</v>
      </c>
      <c r="I29">
        <v>1356.03</v>
      </c>
      <c r="J29">
        <v>1132.97</v>
      </c>
      <c r="K29">
        <v>1065.05</v>
      </c>
    </row>
    <row r="30" spans="1:11" s="4" customFormat="1" x14ac:dyDescent="0.35">
      <c r="A30" s="4" t="s">
        <v>11</v>
      </c>
      <c r="B30">
        <v>1225.19</v>
      </c>
      <c r="C30">
        <v>1606.93</v>
      </c>
      <c r="D30">
        <v>1968.44</v>
      </c>
      <c r="E30">
        <v>2082.4299999999998</v>
      </c>
      <c r="F30">
        <v>2118.41</v>
      </c>
      <c r="G30">
        <v>2390.52</v>
      </c>
      <c r="H30">
        <v>2998.67</v>
      </c>
      <c r="I30">
        <v>3932.84</v>
      </c>
      <c r="J30">
        <v>3314.5</v>
      </c>
      <c r="K30">
        <v>3544.6</v>
      </c>
    </row>
    <row r="31" spans="1:11" s="4" customFormat="1" x14ac:dyDescent="0.35">
      <c r="A31" s="4" t="s">
        <v>49</v>
      </c>
      <c r="B31">
        <v>829.21</v>
      </c>
      <c r="C31">
        <v>1108.83</v>
      </c>
      <c r="D31">
        <v>3297.56</v>
      </c>
      <c r="E31">
        <v>1928.4</v>
      </c>
      <c r="F31">
        <v>1928.4</v>
      </c>
      <c r="G31">
        <v>2121.2399999999998</v>
      </c>
      <c r="H31">
        <v>1677.71</v>
      </c>
      <c r="I31">
        <v>3104.72</v>
      </c>
      <c r="J31">
        <v>2603.34</v>
      </c>
      <c r="K31">
        <v>2313.96</v>
      </c>
    </row>
    <row r="32" spans="1:11" s="4" customFormat="1" x14ac:dyDescent="0.35"/>
    <row r="33" spans="1:11" x14ac:dyDescent="0.35">
      <c r="A33" s="4"/>
    </row>
    <row r="34" spans="1:11" x14ac:dyDescent="0.35">
      <c r="A34" s="4"/>
    </row>
    <row r="35" spans="1:11" x14ac:dyDescent="0.35">
      <c r="A35" s="4"/>
    </row>
    <row r="36" spans="1:11" x14ac:dyDescent="0.35">
      <c r="A36" s="4"/>
    </row>
    <row r="37" spans="1:11" x14ac:dyDescent="0.35">
      <c r="A37" s="4"/>
    </row>
    <row r="38" spans="1:11" x14ac:dyDescent="0.35">
      <c r="A38" s="4"/>
    </row>
    <row r="39" spans="1:11" x14ac:dyDescent="0.35">
      <c r="A39" s="4"/>
    </row>
    <row r="40" spans="1:11" x14ac:dyDescent="0.35">
      <c r="A40" s="1" t="s">
        <v>32</v>
      </c>
    </row>
    <row r="41" spans="1:11" s="9" customFormat="1" x14ac:dyDescent="0.35">
      <c r="A41" s="8" t="s">
        <v>31</v>
      </c>
      <c r="B41" s="14">
        <v>45382</v>
      </c>
      <c r="C41" s="14">
        <v>45473</v>
      </c>
      <c r="D41" s="14">
        <v>45565</v>
      </c>
      <c r="E41" s="14">
        <v>45657</v>
      </c>
      <c r="F41" s="14">
        <v>45747</v>
      </c>
      <c r="G41" s="14">
        <v>45838</v>
      </c>
      <c r="H41" s="14">
        <v>45930</v>
      </c>
      <c r="I41" s="14">
        <v>46022</v>
      </c>
      <c r="J41" s="14">
        <v>46112</v>
      </c>
      <c r="K41" s="14">
        <v>46203</v>
      </c>
    </row>
    <row r="42" spans="1:11" s="4" customFormat="1" x14ac:dyDescent="0.35">
      <c r="A42" s="4" t="s">
        <v>3</v>
      </c>
      <c r="B42">
        <v>5267.59</v>
      </c>
      <c r="C42">
        <v>4813.95</v>
      </c>
      <c r="D42">
        <v>5104</v>
      </c>
      <c r="E42">
        <v>4779.7299999999996</v>
      </c>
      <c r="F42">
        <v>5503.88</v>
      </c>
      <c r="G42">
        <v>5096.16</v>
      </c>
      <c r="H42">
        <v>5643.61</v>
      </c>
      <c r="I42">
        <v>5667.04</v>
      </c>
      <c r="J42">
        <v>6747.79</v>
      </c>
      <c r="K42">
        <v>6378.18</v>
      </c>
    </row>
    <row r="43" spans="1:11" s="4" customFormat="1" x14ac:dyDescent="0.35">
      <c r="A43" s="4" t="s">
        <v>4</v>
      </c>
      <c r="B43">
        <v>3917.54</v>
      </c>
      <c r="C43">
        <v>3699.62</v>
      </c>
      <c r="D43">
        <v>3936.27</v>
      </c>
      <c r="E43">
        <v>3677.04</v>
      </c>
      <c r="F43">
        <v>4115.58</v>
      </c>
      <c r="G43">
        <v>3996.03</v>
      </c>
      <c r="H43">
        <v>4406.97</v>
      </c>
      <c r="I43">
        <v>4466.09</v>
      </c>
      <c r="J43">
        <v>4976.1899999999996</v>
      </c>
      <c r="K43">
        <v>4840.05</v>
      </c>
    </row>
    <row r="44" spans="1:11" s="4" customFormat="1" x14ac:dyDescent="0.35">
      <c r="A44" s="4" t="s">
        <v>6</v>
      </c>
      <c r="B44">
        <v>36.83</v>
      </c>
      <c r="C44">
        <v>39.119999999999997</v>
      </c>
      <c r="D44">
        <v>297.68</v>
      </c>
      <c r="E44">
        <v>4.4400000000000004</v>
      </c>
      <c r="F44">
        <v>9.1</v>
      </c>
      <c r="G44">
        <v>4.17</v>
      </c>
      <c r="H44">
        <v>1.64</v>
      </c>
      <c r="I44">
        <v>169.78</v>
      </c>
      <c r="J44">
        <v>-17.72</v>
      </c>
      <c r="K44">
        <v>16.239999999999998</v>
      </c>
    </row>
    <row r="45" spans="1:11" s="4" customFormat="1" x14ac:dyDescent="0.35">
      <c r="A45" s="4" t="s">
        <v>7</v>
      </c>
      <c r="B45">
        <v>110.1</v>
      </c>
      <c r="C45">
        <v>112.71</v>
      </c>
      <c r="D45">
        <v>121.6</v>
      </c>
      <c r="E45">
        <v>150.27000000000001</v>
      </c>
      <c r="F45">
        <v>155.34</v>
      </c>
      <c r="G45">
        <v>156.94</v>
      </c>
      <c r="H45">
        <v>163.35</v>
      </c>
      <c r="I45">
        <v>174.41</v>
      </c>
      <c r="J45">
        <v>204.53</v>
      </c>
      <c r="K45">
        <v>187.8</v>
      </c>
    </row>
    <row r="46" spans="1:11" s="4" customFormat="1" x14ac:dyDescent="0.35">
      <c r="A46" s="4" t="s">
        <v>8</v>
      </c>
      <c r="B46">
        <v>26.2</v>
      </c>
      <c r="C46">
        <v>31.68</v>
      </c>
      <c r="D46">
        <v>32.22</v>
      </c>
      <c r="E46">
        <v>34.6</v>
      </c>
      <c r="F46">
        <v>37.5</v>
      </c>
      <c r="G46">
        <v>46.89</v>
      </c>
      <c r="H46">
        <v>46.41</v>
      </c>
      <c r="I46">
        <v>28.25</v>
      </c>
      <c r="J46">
        <v>36.76</v>
      </c>
      <c r="K46">
        <v>42.18</v>
      </c>
    </row>
    <row r="47" spans="1:11" s="4" customFormat="1" x14ac:dyDescent="0.35">
      <c r="A47" s="4" t="s">
        <v>9</v>
      </c>
      <c r="B47">
        <v>1250.58</v>
      </c>
      <c r="C47">
        <v>1009.06</v>
      </c>
      <c r="D47">
        <v>1311.59</v>
      </c>
      <c r="E47">
        <v>922.26</v>
      </c>
      <c r="F47">
        <v>1204.56</v>
      </c>
      <c r="G47">
        <v>900.47</v>
      </c>
      <c r="H47">
        <v>1028.52</v>
      </c>
      <c r="I47">
        <v>1168.07</v>
      </c>
      <c r="J47">
        <v>1512.59</v>
      </c>
      <c r="K47">
        <v>1324.39</v>
      </c>
    </row>
    <row r="48" spans="1:11" s="4" customFormat="1" x14ac:dyDescent="0.35">
      <c r="A48" s="4" t="s">
        <v>10</v>
      </c>
      <c r="B48">
        <v>316.41000000000003</v>
      </c>
      <c r="C48">
        <v>262.45999999999998</v>
      </c>
      <c r="D48">
        <v>325.23</v>
      </c>
      <c r="E48">
        <v>226.13</v>
      </c>
      <c r="F48">
        <v>319.14999999999998</v>
      </c>
      <c r="G48">
        <v>241.24</v>
      </c>
      <c r="H48">
        <v>275.32</v>
      </c>
      <c r="I48">
        <v>150.01</v>
      </c>
      <c r="J48">
        <v>398.48</v>
      </c>
      <c r="K48">
        <v>349.27</v>
      </c>
    </row>
    <row r="49" spans="1:11" s="4" customFormat="1" x14ac:dyDescent="0.35">
      <c r="A49" s="4" t="s">
        <v>11</v>
      </c>
      <c r="B49">
        <v>934.17</v>
      </c>
      <c r="C49">
        <v>746.6</v>
      </c>
      <c r="D49">
        <v>986.36</v>
      </c>
      <c r="E49">
        <v>696.13</v>
      </c>
      <c r="F49">
        <v>885.41</v>
      </c>
      <c r="G49">
        <v>659.23</v>
      </c>
      <c r="H49">
        <v>753.2</v>
      </c>
      <c r="I49">
        <v>1018.06</v>
      </c>
      <c r="J49">
        <v>1114.1099999999999</v>
      </c>
      <c r="K49">
        <v>975.12</v>
      </c>
    </row>
    <row r="50" spans="1:11" x14ac:dyDescent="0.35">
      <c r="A50" s="4" t="s">
        <v>5</v>
      </c>
      <c r="B50">
        <v>1350.05</v>
      </c>
      <c r="C50">
        <v>1114.33</v>
      </c>
      <c r="D50">
        <v>1167.73</v>
      </c>
      <c r="E50">
        <v>1102.69</v>
      </c>
      <c r="F50">
        <v>1388.3</v>
      </c>
      <c r="G50">
        <v>1100.1300000000001</v>
      </c>
      <c r="H50">
        <v>1236.6400000000001</v>
      </c>
      <c r="I50">
        <v>1200.95</v>
      </c>
      <c r="J50">
        <v>1771.6</v>
      </c>
      <c r="K50">
        <v>1538.13</v>
      </c>
    </row>
    <row r="51" spans="1:11" x14ac:dyDescent="0.35">
      <c r="A51" s="4"/>
    </row>
    <row r="52" spans="1:11" x14ac:dyDescent="0.35">
      <c r="A52" s="4"/>
    </row>
    <row r="53" spans="1:11" x14ac:dyDescent="0.35">
      <c r="A53" s="4"/>
    </row>
    <row r="54" spans="1:11" x14ac:dyDescent="0.35">
      <c r="A54" s="4"/>
    </row>
    <row r="55" spans="1:11" x14ac:dyDescent="0.35">
      <c r="A55" s="1" t="s">
        <v>33</v>
      </c>
    </row>
    <row r="56" spans="1:11" s="9" customFormat="1" x14ac:dyDescent="0.35">
      <c r="A56" s="8" t="s">
        <v>31</v>
      </c>
      <c r="B56" s="14">
        <v>43100</v>
      </c>
      <c r="C56" s="14">
        <v>43465</v>
      </c>
      <c r="D56" s="14">
        <v>43830</v>
      </c>
      <c r="E56" s="14">
        <v>44196</v>
      </c>
      <c r="F56" s="14">
        <v>44561</v>
      </c>
      <c r="G56" s="14">
        <v>44926</v>
      </c>
      <c r="H56" s="14">
        <v>45291</v>
      </c>
      <c r="I56" s="14">
        <v>45382</v>
      </c>
      <c r="J56" s="14">
        <v>45747</v>
      </c>
      <c r="K56" s="14">
        <v>46112</v>
      </c>
    </row>
    <row r="57" spans="1:11" x14ac:dyDescent="0.35">
      <c r="A57" s="4" t="s">
        <v>17</v>
      </c>
      <c r="B57">
        <v>96.42</v>
      </c>
      <c r="C57">
        <v>96.42</v>
      </c>
      <c r="D57">
        <v>96.42</v>
      </c>
      <c r="E57">
        <v>96.42</v>
      </c>
      <c r="F57">
        <v>96.42</v>
      </c>
      <c r="G57">
        <v>96.42</v>
      </c>
      <c r="H57">
        <v>96.42</v>
      </c>
      <c r="I57">
        <v>96.42</v>
      </c>
      <c r="J57">
        <v>96.42</v>
      </c>
      <c r="K57">
        <v>192.83</v>
      </c>
    </row>
    <row r="58" spans="1:11" x14ac:dyDescent="0.35">
      <c r="A58" s="4" t="s">
        <v>18</v>
      </c>
      <c r="B58">
        <v>3324.17</v>
      </c>
      <c r="C58">
        <v>3577.32</v>
      </c>
      <c r="D58">
        <v>1822.45</v>
      </c>
      <c r="E58">
        <v>1922.92</v>
      </c>
      <c r="F58">
        <v>1849.96</v>
      </c>
      <c r="G58">
        <v>2362.75</v>
      </c>
      <c r="H58">
        <v>2362.75</v>
      </c>
      <c r="I58">
        <v>3244.47</v>
      </c>
      <c r="J58">
        <v>4020.73</v>
      </c>
      <c r="K58">
        <v>5116.41</v>
      </c>
    </row>
    <row r="59" spans="1:11" x14ac:dyDescent="0.35">
      <c r="A59" s="4" t="s">
        <v>50</v>
      </c>
      <c r="B59">
        <v>35.14</v>
      </c>
      <c r="C59">
        <v>35.14</v>
      </c>
      <c r="D59">
        <v>188.94</v>
      </c>
      <c r="E59">
        <v>147.49</v>
      </c>
      <c r="F59">
        <v>266.45999999999998</v>
      </c>
      <c r="G59">
        <v>270.52</v>
      </c>
      <c r="H59">
        <v>270.52</v>
      </c>
      <c r="I59">
        <v>344.53</v>
      </c>
      <c r="J59">
        <v>1166.8499999999999</v>
      </c>
      <c r="K59">
        <v>444.16</v>
      </c>
    </row>
    <row r="60" spans="1:11" x14ac:dyDescent="0.35">
      <c r="A60" s="4" t="s">
        <v>51</v>
      </c>
      <c r="B60">
        <v>3906.86</v>
      </c>
      <c r="C60">
        <v>4379.2</v>
      </c>
      <c r="D60">
        <v>5065.13</v>
      </c>
      <c r="E60">
        <v>5732.9</v>
      </c>
      <c r="F60">
        <v>6021.29</v>
      </c>
      <c r="G60">
        <v>6249.05</v>
      </c>
      <c r="H60">
        <v>6249.05</v>
      </c>
      <c r="I60">
        <v>6837.64</v>
      </c>
      <c r="J60">
        <v>7039.89</v>
      </c>
      <c r="K60">
        <v>7603.77</v>
      </c>
    </row>
    <row r="61" spans="1:11" s="1" customFormat="1" x14ac:dyDescent="0.35">
      <c r="A61" s="1" t="s">
        <v>19</v>
      </c>
      <c r="B61">
        <v>7362.59</v>
      </c>
      <c r="C61">
        <v>8088.08</v>
      </c>
      <c r="D61">
        <v>7172.94</v>
      </c>
      <c r="E61">
        <v>7899.73</v>
      </c>
      <c r="F61">
        <v>8234.1299999999992</v>
      </c>
      <c r="G61">
        <v>8978.74</v>
      </c>
      <c r="H61">
        <v>8978.74</v>
      </c>
      <c r="I61">
        <v>10523.06</v>
      </c>
      <c r="J61">
        <v>12323.89</v>
      </c>
      <c r="K61">
        <v>13357.17</v>
      </c>
    </row>
    <row r="62" spans="1:11" x14ac:dyDescent="0.35">
      <c r="A62" s="4" t="s">
        <v>20</v>
      </c>
      <c r="B62">
        <v>2616.1799999999998</v>
      </c>
      <c r="C62">
        <v>2400.62</v>
      </c>
      <c r="D62">
        <v>2341.4499999999998</v>
      </c>
      <c r="E62">
        <v>2179.41</v>
      </c>
      <c r="F62">
        <v>2994.67</v>
      </c>
      <c r="G62">
        <v>3043.7</v>
      </c>
      <c r="H62">
        <v>3043.7</v>
      </c>
      <c r="I62">
        <v>3460.25</v>
      </c>
      <c r="J62">
        <v>5473.61</v>
      </c>
      <c r="K62">
        <v>6290.42</v>
      </c>
    </row>
    <row r="63" spans="1:11" x14ac:dyDescent="0.35">
      <c r="A63" s="4" t="s">
        <v>21</v>
      </c>
      <c r="B63">
        <v>94.16</v>
      </c>
      <c r="C63">
        <v>105.2</v>
      </c>
      <c r="D63">
        <v>143.30000000000001</v>
      </c>
      <c r="E63">
        <v>638.58000000000004</v>
      </c>
      <c r="F63">
        <v>246.23</v>
      </c>
      <c r="G63">
        <v>358.36</v>
      </c>
      <c r="H63">
        <v>358.36</v>
      </c>
      <c r="I63">
        <v>1741.71</v>
      </c>
      <c r="J63">
        <v>1172.56</v>
      </c>
      <c r="K63">
        <v>506.98</v>
      </c>
    </row>
    <row r="64" spans="1:11" x14ac:dyDescent="0.35">
      <c r="A64" s="4" t="s">
        <v>22</v>
      </c>
      <c r="B64">
        <v>1978.87</v>
      </c>
      <c r="C64">
        <v>2658.49</v>
      </c>
      <c r="D64">
        <v>1751.05</v>
      </c>
      <c r="E64">
        <v>1463.77</v>
      </c>
      <c r="F64">
        <v>773.98</v>
      </c>
      <c r="G64">
        <v>777.54</v>
      </c>
      <c r="H64">
        <v>777.54</v>
      </c>
      <c r="I64">
        <v>463.87</v>
      </c>
      <c r="J64">
        <v>705.6</v>
      </c>
      <c r="K64">
        <v>705.6</v>
      </c>
    </row>
    <row r="65" spans="1:11" x14ac:dyDescent="0.35">
      <c r="A65" s="4" t="s">
        <v>52</v>
      </c>
      <c r="B65">
        <v>2673.38</v>
      </c>
      <c r="C65">
        <v>2923.77</v>
      </c>
      <c r="D65">
        <v>2937.14</v>
      </c>
      <c r="E65">
        <v>3617.97</v>
      </c>
      <c r="F65">
        <v>4219.25</v>
      </c>
      <c r="G65">
        <v>4799.1400000000003</v>
      </c>
      <c r="H65">
        <v>4799.1400000000003</v>
      </c>
      <c r="I65">
        <v>4857.2299999999996</v>
      </c>
      <c r="J65">
        <v>4972.12</v>
      </c>
      <c r="K65">
        <v>5854.17</v>
      </c>
    </row>
    <row r="66" spans="1:11" s="1" customFormat="1" x14ac:dyDescent="0.35">
      <c r="A66" s="1" t="s">
        <v>19</v>
      </c>
      <c r="B66">
        <v>7362.59</v>
      </c>
      <c r="C66">
        <v>8088.08</v>
      </c>
      <c r="D66">
        <v>7172.94</v>
      </c>
      <c r="E66">
        <v>7899.73</v>
      </c>
      <c r="F66">
        <v>8234.1299999999992</v>
      </c>
      <c r="G66">
        <v>8978.74</v>
      </c>
      <c r="H66">
        <v>8978.74</v>
      </c>
      <c r="I66">
        <v>10523.06</v>
      </c>
      <c r="J66">
        <v>12323.89</v>
      </c>
      <c r="K66">
        <v>13357.17</v>
      </c>
    </row>
    <row r="67" spans="1:11" s="4" customFormat="1" x14ac:dyDescent="0.35">
      <c r="A67" s="4" t="s">
        <v>57</v>
      </c>
      <c r="B67">
        <v>88.97</v>
      </c>
      <c r="C67">
        <v>124.59</v>
      </c>
      <c r="D67">
        <v>124.33</v>
      </c>
      <c r="E67">
        <v>164.93</v>
      </c>
      <c r="F67">
        <v>165.97</v>
      </c>
      <c r="G67">
        <v>191.89</v>
      </c>
      <c r="H67">
        <v>191.89</v>
      </c>
      <c r="I67">
        <v>300.45999999999998</v>
      </c>
      <c r="J67">
        <v>363.15</v>
      </c>
      <c r="K67">
        <v>329.47</v>
      </c>
    </row>
    <row r="68" spans="1:11" x14ac:dyDescent="0.35">
      <c r="A68" s="4" t="s">
        <v>38</v>
      </c>
      <c r="B68">
        <v>902.47</v>
      </c>
      <c r="C68">
        <v>965.55</v>
      </c>
      <c r="D68">
        <v>1283.07</v>
      </c>
      <c r="E68">
        <v>1416.48</v>
      </c>
      <c r="F68">
        <v>1592.65</v>
      </c>
      <c r="G68">
        <v>1928.77</v>
      </c>
      <c r="H68">
        <v>1928.77</v>
      </c>
      <c r="I68">
        <v>2089.36</v>
      </c>
      <c r="J68">
        <v>2850.14</v>
      </c>
      <c r="K68">
        <v>2569.2199999999998</v>
      </c>
    </row>
    <row r="69" spans="1:11" x14ac:dyDescent="0.35">
      <c r="A69" s="3" t="s">
        <v>66</v>
      </c>
      <c r="B69">
        <v>1457.42</v>
      </c>
      <c r="C69">
        <v>1610.06</v>
      </c>
      <c r="D69">
        <v>1308.05</v>
      </c>
      <c r="E69">
        <v>1769.87</v>
      </c>
      <c r="F69">
        <v>735.41</v>
      </c>
      <c r="G69">
        <v>945.55</v>
      </c>
      <c r="H69">
        <v>945.55</v>
      </c>
      <c r="I69">
        <v>778.85</v>
      </c>
      <c r="J69">
        <v>95.65</v>
      </c>
      <c r="K69">
        <v>1340.87</v>
      </c>
    </row>
    <row r="70" spans="1:11" x14ac:dyDescent="0.35">
      <c r="A70" s="3" t="s">
        <v>53</v>
      </c>
      <c r="B70">
        <v>96415716</v>
      </c>
      <c r="C70">
        <v>96415716</v>
      </c>
      <c r="D70">
        <v>96415716</v>
      </c>
      <c r="E70">
        <v>96415716</v>
      </c>
      <c r="F70">
        <v>96415716</v>
      </c>
      <c r="G70">
        <v>96415716</v>
      </c>
      <c r="H70"/>
      <c r="I70">
        <v>964157160</v>
      </c>
      <c r="J70">
        <v>964157160</v>
      </c>
      <c r="K70">
        <v>1928314320</v>
      </c>
    </row>
    <row r="71" spans="1:11" x14ac:dyDescent="0.35">
      <c r="A71" s="3" t="s">
        <v>54</v>
      </c>
    </row>
    <row r="72" spans="1:11" x14ac:dyDescent="0.35">
      <c r="A72" s="3" t="s">
        <v>67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</v>
      </c>
      <c r="J72">
        <v>1</v>
      </c>
      <c r="K72">
        <v>1</v>
      </c>
    </row>
    <row r="74" spans="1:11" x14ac:dyDescent="0.35">
      <c r="A74" s="4"/>
    </row>
    <row r="75" spans="1:11" x14ac:dyDescent="0.35">
      <c r="A75" s="4"/>
    </row>
    <row r="76" spans="1:11" x14ac:dyDescent="0.35">
      <c r="A76" s="4"/>
    </row>
    <row r="77" spans="1:11" x14ac:dyDescent="0.35">
      <c r="A77" s="4"/>
    </row>
    <row r="78" spans="1:11" x14ac:dyDescent="0.35">
      <c r="A78" s="4"/>
    </row>
    <row r="79" spans="1:11" x14ac:dyDescent="0.35">
      <c r="A79" s="4"/>
    </row>
    <row r="80" spans="1:11" x14ac:dyDescent="0.35">
      <c r="A80" s="1" t="s">
        <v>34</v>
      </c>
    </row>
    <row r="81" spans="1:11" s="9" customFormat="1" x14ac:dyDescent="0.35">
      <c r="A81" s="8" t="s">
        <v>31</v>
      </c>
      <c r="B81" s="14">
        <v>43100</v>
      </c>
      <c r="C81" s="14">
        <v>43465</v>
      </c>
      <c r="D81" s="14">
        <v>43830</v>
      </c>
      <c r="E81" s="14">
        <v>44196</v>
      </c>
      <c r="F81" s="14">
        <v>44561</v>
      </c>
      <c r="G81" s="14">
        <v>44926</v>
      </c>
      <c r="H81" s="14">
        <v>45291</v>
      </c>
      <c r="I81" s="14">
        <v>45382</v>
      </c>
      <c r="J81" s="14">
        <v>45747</v>
      </c>
      <c r="K81" s="14">
        <v>46112</v>
      </c>
    </row>
    <row r="82" spans="1:11" s="1" customFormat="1" x14ac:dyDescent="0.35">
      <c r="A82" s="4" t="s">
        <v>25</v>
      </c>
      <c r="B82">
        <v>1817.79</v>
      </c>
      <c r="C82">
        <v>2052.4499999999998</v>
      </c>
      <c r="D82">
        <v>2295.25</v>
      </c>
      <c r="E82">
        <v>2454.48</v>
      </c>
      <c r="F82">
        <v>2236</v>
      </c>
      <c r="G82">
        <v>2737.43</v>
      </c>
      <c r="H82">
        <v>3392.19</v>
      </c>
      <c r="I82">
        <v>4174.79</v>
      </c>
      <c r="J82">
        <v>2934.53</v>
      </c>
      <c r="K82">
        <v>5047.5600000000004</v>
      </c>
    </row>
    <row r="83" spans="1:11" s="4" customFormat="1" x14ac:dyDescent="0.35">
      <c r="A83" s="4" t="s">
        <v>26</v>
      </c>
      <c r="B83">
        <v>-130.56</v>
      </c>
      <c r="C83">
        <v>-52.41</v>
      </c>
      <c r="D83">
        <v>82.99</v>
      </c>
      <c r="E83">
        <v>-321.45999999999998</v>
      </c>
      <c r="F83">
        <v>-1920.33</v>
      </c>
      <c r="G83">
        <v>-391.73</v>
      </c>
      <c r="H83">
        <v>-926.99</v>
      </c>
      <c r="I83">
        <v>-1237.42</v>
      </c>
      <c r="J83">
        <v>-1810.9</v>
      </c>
      <c r="K83">
        <v>-623.67999999999995</v>
      </c>
    </row>
    <row r="84" spans="1:11" s="4" customFormat="1" x14ac:dyDescent="0.35">
      <c r="A84" s="4" t="s">
        <v>27</v>
      </c>
      <c r="B84">
        <v>-996.62</v>
      </c>
      <c r="C84">
        <v>-1317.42</v>
      </c>
      <c r="D84">
        <v>-3601.53</v>
      </c>
      <c r="E84">
        <v>-1955.89</v>
      </c>
      <c r="F84">
        <v>-2019.97</v>
      </c>
      <c r="G84">
        <v>-2122.7399999999998</v>
      </c>
      <c r="H84">
        <v>-2436.4699999999998</v>
      </c>
      <c r="I84">
        <v>-3134.92</v>
      </c>
      <c r="J84">
        <v>-1846.3</v>
      </c>
      <c r="K84">
        <v>-3179.49</v>
      </c>
    </row>
    <row r="85" spans="1:11" s="1" customFormat="1" x14ac:dyDescent="0.35">
      <c r="A85" s="4" t="s">
        <v>28</v>
      </c>
      <c r="B85">
        <v>690.61</v>
      </c>
      <c r="C85">
        <v>682.62</v>
      </c>
      <c r="D85">
        <v>-1223.29</v>
      </c>
      <c r="E85">
        <v>177.13</v>
      </c>
      <c r="F85">
        <v>-1704.3</v>
      </c>
      <c r="G85">
        <v>222.96</v>
      </c>
      <c r="H85">
        <v>28.73</v>
      </c>
      <c r="I85">
        <v>-197.55</v>
      </c>
      <c r="J85">
        <v>-722.67</v>
      </c>
      <c r="K85">
        <v>1244.3900000000001</v>
      </c>
    </row>
    <row r="86" spans="1:11" x14ac:dyDescent="0.35">
      <c r="A86" s="4"/>
    </row>
    <row r="87" spans="1:11" x14ac:dyDescent="0.35">
      <c r="A87" s="4"/>
    </row>
    <row r="88" spans="1:11" x14ac:dyDescent="0.35">
      <c r="A88" s="4"/>
    </row>
    <row r="89" spans="1:11" x14ac:dyDescent="0.35">
      <c r="A89" s="4"/>
    </row>
    <row r="90" spans="1:11" s="1" customFormat="1" x14ac:dyDescent="0.35">
      <c r="A90" s="1" t="s">
        <v>56</v>
      </c>
      <c r="B90">
        <v>393.55</v>
      </c>
      <c r="C90">
        <v>554.24</v>
      </c>
      <c r="D90">
        <v>739.27</v>
      </c>
      <c r="E90">
        <v>919.51</v>
      </c>
      <c r="F90">
        <v>985.29</v>
      </c>
      <c r="G90">
        <v>980.3</v>
      </c>
      <c r="H90">
        <v>1329.02</v>
      </c>
      <c r="I90">
        <v>1311.18</v>
      </c>
      <c r="J90">
        <v>1125.3800000000001</v>
      </c>
      <c r="K90">
        <v>1174.8</v>
      </c>
    </row>
    <row r="92" spans="1:11" s="1" customFormat="1" x14ac:dyDescent="0.35">
      <c r="A92" s="1" t="s">
        <v>55</v>
      </c>
    </row>
    <row r="93" spans="1:11" x14ac:dyDescent="0.35">
      <c r="A93" s="3" t="s">
        <v>68</v>
      </c>
      <c r="B93" s="10">
        <v>192.8</v>
      </c>
      <c r="C93" s="10">
        <v>192.8</v>
      </c>
      <c r="D93" s="10">
        <v>192.8</v>
      </c>
      <c r="E93" s="10">
        <v>192.8</v>
      </c>
      <c r="F93" s="10">
        <v>192.8</v>
      </c>
      <c r="G93" s="10">
        <v>192.8</v>
      </c>
      <c r="H93" s="10">
        <v>192.8</v>
      </c>
      <c r="I93" s="10">
        <v>192.83</v>
      </c>
      <c r="J93" s="10">
        <v>192.83</v>
      </c>
      <c r="K93" s="10">
        <v>192.83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23"/>
  <sheetViews>
    <sheetView showGridLines="0" zoomScale="65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2" sqref="M12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</cols>
  <sheetData>
    <row r="1" spans="1:11" s="2" customFormat="1" x14ac:dyDescent="0.35">
      <c r="A1" s="2" t="str">
        <f>'Data Sheet'!B1</f>
        <v>NESTLE INDIA LTD</v>
      </c>
      <c r="H1" t="str">
        <f>UPDATE</f>
        <v/>
      </c>
      <c r="J1" s="56"/>
      <c r="K1" s="56"/>
    </row>
    <row r="3" spans="1:11" s="2" customFormat="1" x14ac:dyDescent="0.35">
      <c r="A3" s="27" t="s">
        <v>2</v>
      </c>
      <c r="B3" s="14">
        <f>'Data Sheet'!B16</f>
        <v>43100</v>
      </c>
      <c r="C3" s="14">
        <f>'Data Sheet'!C16</f>
        <v>43465</v>
      </c>
      <c r="D3" s="14">
        <f>'Data Sheet'!D16</f>
        <v>43830</v>
      </c>
      <c r="E3" s="14">
        <f>'Data Sheet'!E16</f>
        <v>44196</v>
      </c>
      <c r="F3" s="14">
        <f>'Data Sheet'!F16</f>
        <v>44561</v>
      </c>
      <c r="G3" s="14">
        <f>'Data Sheet'!G16</f>
        <v>44926</v>
      </c>
      <c r="H3" s="14">
        <f>'Data Sheet'!H16</f>
        <v>45291</v>
      </c>
      <c r="I3" s="14">
        <f>'Data Sheet'!I16</f>
        <v>45382</v>
      </c>
      <c r="J3" s="14">
        <f>'Data Sheet'!J16</f>
        <v>45747</v>
      </c>
      <c r="K3" s="14">
        <f>'Data Sheet'!K16</f>
        <v>46112</v>
      </c>
    </row>
    <row r="4" spans="1:11" s="2" customFormat="1" x14ac:dyDescent="0.35">
      <c r="A4" s="2" t="s">
        <v>3</v>
      </c>
      <c r="B4" s="1">
        <f>'Data Sheet'!B17</f>
        <v>10009.6</v>
      </c>
      <c r="C4" s="1">
        <f>'Data Sheet'!C17</f>
        <v>11292.27</v>
      </c>
      <c r="D4" s="1">
        <f>'Data Sheet'!D17</f>
        <v>12368.9</v>
      </c>
      <c r="E4" s="1">
        <f>'Data Sheet'!E17</f>
        <v>13350.03</v>
      </c>
      <c r="F4" s="1">
        <f>'Data Sheet'!F17</f>
        <v>14740.59</v>
      </c>
      <c r="G4" s="1">
        <f>'Data Sheet'!G17</f>
        <v>16896.96</v>
      </c>
      <c r="H4" s="1">
        <f>'Data Sheet'!H17</f>
        <v>19126.3</v>
      </c>
      <c r="I4" s="1">
        <f>'Data Sheet'!I17</f>
        <v>24393.89</v>
      </c>
      <c r="J4" s="1">
        <f>'Data Sheet'!J17</f>
        <v>20201.560000000001</v>
      </c>
      <c r="K4" s="1">
        <f>'Data Sheet'!K17</f>
        <v>23154.6</v>
      </c>
    </row>
    <row r="5" spans="1:11" x14ac:dyDescent="0.35">
      <c r="A5" t="s">
        <v>4</v>
      </c>
      <c r="B5" s="4">
        <f>SUM('Data Sheet'!B18,'Data Sheet'!B20:B24, -1*'Data Sheet'!B19)</f>
        <v>7913.0699999999988</v>
      </c>
      <c r="C5" s="4">
        <f>SUM('Data Sheet'!C18,'Data Sheet'!C20:C24, -1*'Data Sheet'!C19)</f>
        <v>8674.619999999999</v>
      </c>
      <c r="D5" s="4">
        <f>SUM('Data Sheet'!D18,'Data Sheet'!D20:D24, -1*'Data Sheet'!D19)</f>
        <v>9443.02</v>
      </c>
      <c r="E5" s="4">
        <f>SUM('Data Sheet'!E18,'Data Sheet'!E20:E24, -1*'Data Sheet'!E19)</f>
        <v>10148.529999999999</v>
      </c>
      <c r="F5" s="4">
        <f>SUM('Data Sheet'!F18,'Data Sheet'!F20:F24, -1*'Data Sheet'!F19)</f>
        <v>11178.19</v>
      </c>
      <c r="G5" s="4">
        <f>SUM('Data Sheet'!G18,'Data Sheet'!G20:G24, -1*'Data Sheet'!G19)</f>
        <v>13190.67</v>
      </c>
      <c r="H5" s="4">
        <f>SUM('Data Sheet'!H18,'Data Sheet'!H20:H24, -1*'Data Sheet'!H19)</f>
        <v>14655.31</v>
      </c>
      <c r="I5" s="4">
        <f>SUM('Data Sheet'!I18,'Data Sheet'!I20:I24, -1*'Data Sheet'!I19)</f>
        <v>18550.77</v>
      </c>
      <c r="J5" s="4">
        <f>SUM('Data Sheet'!J18,'Data Sheet'!J20:J24, -1*'Data Sheet'!J19)</f>
        <v>15430.230000000001</v>
      </c>
      <c r="K5" s="4">
        <f>SUM('Data Sheet'!K18,'Data Sheet'!K20:K24, -1*'Data Sheet'!K19)</f>
        <v>17847.639999999996</v>
      </c>
    </row>
    <row r="6" spans="1:11" s="2" customFormat="1" x14ac:dyDescent="0.35">
      <c r="A6" s="2" t="s">
        <v>5</v>
      </c>
      <c r="B6" s="1">
        <f>B4-B5</f>
        <v>2096.5300000000016</v>
      </c>
      <c r="C6" s="1">
        <f t="shared" ref="C6:K6" si="0">C4-C5</f>
        <v>2617.6500000000015</v>
      </c>
      <c r="D6" s="1">
        <f t="shared" si="0"/>
        <v>2925.8799999999992</v>
      </c>
      <c r="E6" s="1">
        <f t="shared" si="0"/>
        <v>3201.5000000000018</v>
      </c>
      <c r="F6" s="1">
        <f t="shared" si="0"/>
        <v>3562.3999999999996</v>
      </c>
      <c r="G6" s="1">
        <f t="shared" si="0"/>
        <v>3706.2899999999991</v>
      </c>
      <c r="H6" s="1">
        <f t="shared" si="0"/>
        <v>4470.99</v>
      </c>
      <c r="I6" s="1">
        <f t="shared" si="0"/>
        <v>5843.119999999999</v>
      </c>
      <c r="J6" s="1">
        <f t="shared" si="0"/>
        <v>4771.33</v>
      </c>
      <c r="K6" s="1">
        <f t="shared" si="0"/>
        <v>5306.9600000000028</v>
      </c>
    </row>
    <row r="7" spans="1:11" x14ac:dyDescent="0.35">
      <c r="A7" t="s">
        <v>6</v>
      </c>
      <c r="B7" s="4">
        <f>'Data Sheet'!B25</f>
        <v>176.92</v>
      </c>
      <c r="C7" s="4">
        <f>'Data Sheet'!C25</f>
        <v>258.92</v>
      </c>
      <c r="D7" s="4">
        <f>'Data Sheet'!D25</f>
        <v>246.88</v>
      </c>
      <c r="E7" s="4">
        <f>'Data Sheet'!E25</f>
        <v>145.85</v>
      </c>
      <c r="F7" s="4">
        <f>'Data Sheet'!F25</f>
        <v>-112.38</v>
      </c>
      <c r="G7" s="4">
        <f>'Data Sheet'!G25</f>
        <v>107.26</v>
      </c>
      <c r="H7" s="4">
        <f>'Data Sheet'!H25</f>
        <v>115.5</v>
      </c>
      <c r="I7" s="4">
        <f>'Data Sheet'!I25</f>
        <v>158.99</v>
      </c>
      <c r="J7" s="4">
        <f>'Data Sheet'!J25</f>
        <v>352.06</v>
      </c>
      <c r="K7" s="4">
        <f>'Data Sheet'!K25</f>
        <v>160.22999999999999</v>
      </c>
    </row>
    <row r="8" spans="1:11" x14ac:dyDescent="0.35">
      <c r="A8" t="s">
        <v>7</v>
      </c>
      <c r="B8" s="4">
        <f>'Data Sheet'!B26</f>
        <v>342.25</v>
      </c>
      <c r="C8" s="4">
        <f>'Data Sheet'!C26</f>
        <v>335.67</v>
      </c>
      <c r="D8" s="4">
        <f>'Data Sheet'!D26</f>
        <v>370.15</v>
      </c>
      <c r="E8" s="4">
        <f>'Data Sheet'!E26</f>
        <v>370.38</v>
      </c>
      <c r="F8" s="4">
        <f>'Data Sheet'!F26</f>
        <v>391.02</v>
      </c>
      <c r="G8" s="4">
        <f>'Data Sheet'!G26</f>
        <v>403.01</v>
      </c>
      <c r="H8" s="4">
        <f>'Data Sheet'!H26</f>
        <v>428.91</v>
      </c>
      <c r="I8" s="4">
        <f>'Data Sheet'!I26</f>
        <v>567.75</v>
      </c>
      <c r="J8" s="4">
        <f>'Data Sheet'!J26</f>
        <v>539.91999999999996</v>
      </c>
      <c r="K8" s="4">
        <f>'Data Sheet'!K26</f>
        <v>699.23</v>
      </c>
    </row>
    <row r="9" spans="1:11" x14ac:dyDescent="0.35">
      <c r="A9" t="s">
        <v>8</v>
      </c>
      <c r="B9" s="4">
        <f>'Data Sheet'!B27</f>
        <v>91.9</v>
      </c>
      <c r="C9" s="4">
        <f>'Data Sheet'!C27</f>
        <v>111.95</v>
      </c>
      <c r="D9" s="4">
        <f>'Data Sheet'!D27</f>
        <v>129.12</v>
      </c>
      <c r="E9" s="4">
        <f>'Data Sheet'!E27</f>
        <v>164.18</v>
      </c>
      <c r="F9" s="4">
        <f>'Data Sheet'!F27</f>
        <v>201.68</v>
      </c>
      <c r="G9" s="4">
        <f>'Data Sheet'!G27</f>
        <v>154.57</v>
      </c>
      <c r="H9" s="4">
        <f>'Data Sheet'!H27</f>
        <v>119.29</v>
      </c>
      <c r="I9" s="4">
        <f>'Data Sheet'!I27</f>
        <v>145.49</v>
      </c>
      <c r="J9" s="4">
        <f>'Data Sheet'!J27</f>
        <v>136</v>
      </c>
      <c r="K9" s="4">
        <f>'Data Sheet'!K27</f>
        <v>158.31</v>
      </c>
    </row>
    <row r="10" spans="1:11" x14ac:dyDescent="0.35">
      <c r="A10" t="s">
        <v>9</v>
      </c>
      <c r="B10" s="4">
        <f>'Data Sheet'!B28</f>
        <v>1839.3</v>
      </c>
      <c r="C10" s="4">
        <f>'Data Sheet'!C28</f>
        <v>2428.9499999999998</v>
      </c>
      <c r="D10" s="4">
        <f>'Data Sheet'!D28</f>
        <v>2673.49</v>
      </c>
      <c r="E10" s="4">
        <f>'Data Sheet'!E28</f>
        <v>2812.79</v>
      </c>
      <c r="F10" s="4">
        <f>'Data Sheet'!F28</f>
        <v>2857.32</v>
      </c>
      <c r="G10" s="4">
        <f>'Data Sheet'!G28</f>
        <v>3255.97</v>
      </c>
      <c r="H10" s="4">
        <f>'Data Sheet'!H28</f>
        <v>4038.29</v>
      </c>
      <c r="I10" s="4">
        <f>'Data Sheet'!I28</f>
        <v>5288.87</v>
      </c>
      <c r="J10" s="4">
        <f>'Data Sheet'!J28</f>
        <v>4447.47</v>
      </c>
      <c r="K10" s="4">
        <f>'Data Sheet'!K28</f>
        <v>4609.6499999999996</v>
      </c>
    </row>
    <row r="11" spans="1:11" x14ac:dyDescent="0.35">
      <c r="A11" t="s">
        <v>10</v>
      </c>
      <c r="B11" s="4">
        <f>'Data Sheet'!B29</f>
        <v>614.11</v>
      </c>
      <c r="C11" s="4">
        <f>'Data Sheet'!C29</f>
        <v>822.02</v>
      </c>
      <c r="D11" s="4">
        <f>'Data Sheet'!D29</f>
        <v>705.05</v>
      </c>
      <c r="E11" s="4">
        <f>'Data Sheet'!E29</f>
        <v>730.36</v>
      </c>
      <c r="F11" s="4">
        <f>'Data Sheet'!F29</f>
        <v>738.91</v>
      </c>
      <c r="G11" s="4">
        <f>'Data Sheet'!G29</f>
        <v>865.45</v>
      </c>
      <c r="H11" s="4">
        <f>'Data Sheet'!H29</f>
        <v>1039.6199999999999</v>
      </c>
      <c r="I11" s="4">
        <f>'Data Sheet'!I29</f>
        <v>1356.03</v>
      </c>
      <c r="J11" s="4">
        <f>'Data Sheet'!J29</f>
        <v>1132.97</v>
      </c>
      <c r="K11" s="4">
        <f>'Data Sheet'!K29</f>
        <v>1065.05</v>
      </c>
    </row>
    <row r="12" spans="1:11" s="2" customFormat="1" x14ac:dyDescent="0.35">
      <c r="A12" s="2" t="s">
        <v>11</v>
      </c>
      <c r="B12" s="1">
        <f>'Data Sheet'!B30</f>
        <v>1225.19</v>
      </c>
      <c r="C12" s="1">
        <f>'Data Sheet'!C30</f>
        <v>1606.93</v>
      </c>
      <c r="D12" s="1">
        <f>'Data Sheet'!D30</f>
        <v>1968.44</v>
      </c>
      <c r="E12" s="1">
        <f>'Data Sheet'!E30</f>
        <v>2082.4299999999998</v>
      </c>
      <c r="F12" s="1">
        <f>'Data Sheet'!F30</f>
        <v>2118.41</v>
      </c>
      <c r="G12" s="1">
        <f>'Data Sheet'!G30</f>
        <v>2390.52</v>
      </c>
      <c r="H12" s="1">
        <f>'Data Sheet'!H30</f>
        <v>2998.67</v>
      </c>
      <c r="I12" s="1">
        <f>'Data Sheet'!I30</f>
        <v>3932.84</v>
      </c>
      <c r="J12" s="1">
        <f>'Data Sheet'!J30</f>
        <v>3314.5</v>
      </c>
      <c r="K12" s="1">
        <f>'Data Sheet'!K30</f>
        <v>3544.6</v>
      </c>
    </row>
    <row r="13" spans="1:11" x14ac:dyDescent="0.35">
      <c r="A13" t="s">
        <v>41</v>
      </c>
      <c r="B13" s="4">
        <f>IF('Data Sheet'!B93&gt;0,B12/'Data Sheet'!B93,0)</f>
        <v>6.3547199170124484</v>
      </c>
      <c r="C13" s="4">
        <f>IF('Data Sheet'!C93&gt;0,C12/'Data Sheet'!C93,0)</f>
        <v>8.3346991701244804</v>
      </c>
      <c r="D13" s="4">
        <f>IF('Data Sheet'!D93&gt;0,D12/'Data Sheet'!D93,0)</f>
        <v>10.209751037344398</v>
      </c>
      <c r="E13" s="4">
        <f>IF('Data Sheet'!E93&gt;0,E12/'Data Sheet'!E93,0)</f>
        <v>10.800985477178422</v>
      </c>
      <c r="F13" s="4">
        <f>IF('Data Sheet'!F93&gt;0,F12/'Data Sheet'!F93,0)</f>
        <v>10.987603734439833</v>
      </c>
      <c r="G13" s="4">
        <f>IF('Data Sheet'!G93&gt;0,G12/'Data Sheet'!G93,0)</f>
        <v>12.398962655601659</v>
      </c>
      <c r="H13" s="4">
        <f>IF('Data Sheet'!H93&gt;0,H12/'Data Sheet'!H93,0)</f>
        <v>15.553267634854771</v>
      </c>
      <c r="I13" s="4">
        <f>IF('Data Sheet'!I93&gt;0,I12/'Data Sheet'!I93,0)</f>
        <v>20.395374163771198</v>
      </c>
      <c r="J13" s="4">
        <f>IF('Data Sheet'!J93&gt;0,J12/'Data Sheet'!J93,0)</f>
        <v>17.188715448840949</v>
      </c>
      <c r="K13" s="4">
        <f>IF('Data Sheet'!K93&gt;0,K12/'Data Sheet'!K93,0)</f>
        <v>18.381994502930041</v>
      </c>
    </row>
    <row r="14" spans="1:11" x14ac:dyDescent="0.35">
      <c r="A14" t="s">
        <v>13</v>
      </c>
      <c r="B14" s="4">
        <f>IF(B15&gt;0,B15/B13,"")</f>
        <v>61.930345497433052</v>
      </c>
      <c r="C14" s="4">
        <f t="shared" ref="C14:K14" si="1">IF(C15&gt;0,C15/C13,"")</f>
        <v>66.497900966439119</v>
      </c>
      <c r="D14" s="4">
        <f t="shared" si="1"/>
        <v>72.40822986730609</v>
      </c>
      <c r="E14" s="4">
        <f t="shared" si="1"/>
        <v>85.132046695447158</v>
      </c>
      <c r="F14" s="4">
        <f t="shared" si="1"/>
        <v>89.672873523066826</v>
      </c>
      <c r="G14" s="4">
        <f t="shared" si="1"/>
        <v>79.063065776483782</v>
      </c>
      <c r="H14" s="4">
        <f t="shared" si="1"/>
        <v>85.44956797513565</v>
      </c>
      <c r="I14" s="4">
        <f t="shared" si="1"/>
        <v>64.288107169373788</v>
      </c>
      <c r="J14" s="4">
        <f t="shared" si="1"/>
        <v>65.472024558756985</v>
      </c>
      <c r="K14" s="4">
        <f t="shared" si="1"/>
        <v>63.910366190825478</v>
      </c>
    </row>
    <row r="15" spans="1:11" s="2" customFormat="1" x14ac:dyDescent="0.35">
      <c r="A15" s="2" t="s">
        <v>42</v>
      </c>
      <c r="B15" s="1">
        <f>'Data Sheet'!B90</f>
        <v>393.55</v>
      </c>
      <c r="C15" s="1">
        <f>'Data Sheet'!C90</f>
        <v>554.24</v>
      </c>
      <c r="D15" s="1">
        <f>'Data Sheet'!D90</f>
        <v>739.27</v>
      </c>
      <c r="E15" s="1">
        <f>'Data Sheet'!E90</f>
        <v>919.51</v>
      </c>
      <c r="F15" s="1">
        <f>'Data Sheet'!F90</f>
        <v>985.29</v>
      </c>
      <c r="G15" s="1">
        <f>'Data Sheet'!G90</f>
        <v>980.3</v>
      </c>
      <c r="H15" s="1">
        <f>'Data Sheet'!H90</f>
        <v>1329.02</v>
      </c>
      <c r="I15" s="1">
        <f>'Data Sheet'!I90</f>
        <v>1311.18</v>
      </c>
      <c r="J15" s="1">
        <f>'Data Sheet'!J90</f>
        <v>1125.3800000000001</v>
      </c>
      <c r="K15" s="1">
        <f>'Data Sheet'!K90</f>
        <v>1174.8</v>
      </c>
    </row>
    <row r="17" spans="1:11" s="2" customFormat="1" x14ac:dyDescent="0.35">
      <c r="A17" s="2" t="s">
        <v>12</v>
      </c>
    </row>
    <row r="18" spans="1:11" x14ac:dyDescent="0.35">
      <c r="A18" t="s">
        <v>14</v>
      </c>
      <c r="B18" s="13">
        <f>IF('Data Sheet'!B30&gt;0, 'Data Sheet'!B31/'Data Sheet'!B30, 0)</f>
        <v>0.6768011492095104</v>
      </c>
      <c r="C18" s="13">
        <f>IF('Data Sheet'!C30&gt;0, 'Data Sheet'!C31/'Data Sheet'!C30, 0)</f>
        <v>0.69003005731425759</v>
      </c>
      <c r="D18" s="13">
        <f>IF('Data Sheet'!D30&gt;0, 'Data Sheet'!D31/'Data Sheet'!D30, 0)</f>
        <v>1.6752148909796589</v>
      </c>
      <c r="E18" s="13">
        <f>IF('Data Sheet'!E30&gt;0, 'Data Sheet'!E31/'Data Sheet'!E30, 0)</f>
        <v>0.92603352813780071</v>
      </c>
      <c r="F18" s="13">
        <f>IF('Data Sheet'!F30&gt;0, 'Data Sheet'!F31/'Data Sheet'!F30, 0)</f>
        <v>0.91030537053733707</v>
      </c>
      <c r="G18" s="13">
        <f>IF('Data Sheet'!G30&gt;0, 'Data Sheet'!G31/'Data Sheet'!G30, 0)</f>
        <v>0.88735505245720592</v>
      </c>
      <c r="H18" s="13">
        <f>IF('Data Sheet'!H30&gt;0, 'Data Sheet'!H31/'Data Sheet'!H30, 0)</f>
        <v>0.55948470488583268</v>
      </c>
      <c r="I18" s="13">
        <f>IF('Data Sheet'!I30&gt;0, 'Data Sheet'!I31/'Data Sheet'!I30, 0)</f>
        <v>0.78943460705240986</v>
      </c>
      <c r="J18" s="13">
        <f>IF('Data Sheet'!J30&gt;0, 'Data Sheet'!J31/'Data Sheet'!J30, 0)</f>
        <v>0.78543973449992466</v>
      </c>
      <c r="K18" s="13">
        <f>IF('Data Sheet'!K30&gt;0, 'Data Sheet'!K31/'Data Sheet'!K30, 0)</f>
        <v>0.65281272922191502</v>
      </c>
    </row>
    <row r="19" spans="1:11" x14ac:dyDescent="0.35">
      <c r="A19" t="s">
        <v>15</v>
      </c>
      <c r="B19" s="13">
        <f t="shared" ref="B19" si="2">IF(B6&gt;0,B6/B4,0)</f>
        <v>0.20945192615089528</v>
      </c>
      <c r="C19" s="13">
        <f t="shared" ref="C19:K19" si="3">IF(C6&gt;0,C6/C4,0)</f>
        <v>0.2318090162562533</v>
      </c>
      <c r="D19" s="13">
        <f t="shared" si="3"/>
        <v>0.23655135056472276</v>
      </c>
      <c r="E19" s="13">
        <f t="shared" si="3"/>
        <v>0.23981219517858773</v>
      </c>
      <c r="F19" s="13">
        <f t="shared" si="3"/>
        <v>0.24167282313665869</v>
      </c>
      <c r="G19" s="13">
        <f t="shared" si="3"/>
        <v>0.21934655701380598</v>
      </c>
      <c r="H19" s="13">
        <f t="shared" si="3"/>
        <v>0.23376136524053268</v>
      </c>
      <c r="I19" s="13">
        <f t="shared" si="3"/>
        <v>0.23953211234452559</v>
      </c>
      <c r="J19" s="13">
        <f t="shared" si="3"/>
        <v>0.23618621532198503</v>
      </c>
      <c r="K19" s="13">
        <f t="shared" si="3"/>
        <v>0.2291967902706159</v>
      </c>
    </row>
    <row r="20" spans="1:11" x14ac:dyDescent="0.35"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35"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s="2" customFormat="1" x14ac:dyDescent="0.35"/>
    <row r="23" spans="1:11" s="2" customFormat="1" x14ac:dyDescent="0.35"/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showGridLines="0" zoomScale="79" workbookViewId="0">
      <pane xSplit="1" ySplit="3" topLeftCell="G4" activePane="bottomRight" state="frozen"/>
      <selection activeCell="C4" sqref="C4"/>
      <selection pane="topRight" activeCell="C4" sqref="C4"/>
      <selection pane="bottomLeft" activeCell="C4" sqref="C4"/>
      <selection pane="bottomRight" activeCell="J6" sqref="J6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NESTLE INDIA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27" t="s">
        <v>2</v>
      </c>
      <c r="B3" s="14">
        <f>'Data Sheet'!B56</f>
        <v>43100</v>
      </c>
      <c r="C3" s="14">
        <f>'Data Sheet'!C56</f>
        <v>43465</v>
      </c>
      <c r="D3" s="14">
        <f>'Data Sheet'!D56</f>
        <v>43830</v>
      </c>
      <c r="E3" s="14">
        <f>'Data Sheet'!E56</f>
        <v>44196</v>
      </c>
      <c r="F3" s="14">
        <f>'Data Sheet'!F56</f>
        <v>44561</v>
      </c>
      <c r="G3" s="14">
        <f>'Data Sheet'!G56</f>
        <v>44926</v>
      </c>
      <c r="H3" s="14">
        <f>'Data Sheet'!H56</f>
        <v>45291</v>
      </c>
      <c r="I3" s="14">
        <f>'Data Sheet'!I56</f>
        <v>45382</v>
      </c>
      <c r="J3" s="14">
        <f>'Data Sheet'!J56</f>
        <v>45747</v>
      </c>
      <c r="K3" s="14">
        <f>'Data Sheet'!K56</f>
        <v>46112</v>
      </c>
    </row>
    <row r="4" spans="1:11" x14ac:dyDescent="0.35">
      <c r="A4" t="s">
        <v>17</v>
      </c>
      <c r="B4" s="6">
        <f>'Data Sheet'!B57</f>
        <v>96.42</v>
      </c>
      <c r="C4" s="6">
        <f>'Data Sheet'!C57</f>
        <v>96.42</v>
      </c>
      <c r="D4" s="6">
        <f>'Data Sheet'!D57</f>
        <v>96.42</v>
      </c>
      <c r="E4" s="6">
        <f>'Data Sheet'!E57</f>
        <v>96.42</v>
      </c>
      <c r="F4" s="6">
        <f>'Data Sheet'!F57</f>
        <v>96.42</v>
      </c>
      <c r="G4" s="6">
        <f>'Data Sheet'!G57</f>
        <v>96.42</v>
      </c>
      <c r="H4" s="6">
        <f>'Data Sheet'!H57</f>
        <v>96.42</v>
      </c>
      <c r="I4" s="6">
        <f>'Data Sheet'!I57</f>
        <v>96.42</v>
      </c>
      <c r="J4" s="6">
        <f>'Data Sheet'!J57</f>
        <v>96.42</v>
      </c>
      <c r="K4" s="6">
        <f>'Data Sheet'!K57</f>
        <v>192.83</v>
      </c>
    </row>
    <row r="5" spans="1:11" x14ac:dyDescent="0.35">
      <c r="A5" t="s">
        <v>18</v>
      </c>
      <c r="B5" s="6">
        <f>'Data Sheet'!B58</f>
        <v>3324.17</v>
      </c>
      <c r="C5" s="6">
        <f>'Data Sheet'!C58</f>
        <v>3577.32</v>
      </c>
      <c r="D5" s="6">
        <f>'Data Sheet'!D58</f>
        <v>1822.45</v>
      </c>
      <c r="E5" s="6">
        <f>'Data Sheet'!E58</f>
        <v>1922.92</v>
      </c>
      <c r="F5" s="6">
        <f>'Data Sheet'!F58</f>
        <v>1849.96</v>
      </c>
      <c r="G5" s="6">
        <f>'Data Sheet'!G58</f>
        <v>2362.75</v>
      </c>
      <c r="H5" s="6">
        <f>'Data Sheet'!H58</f>
        <v>2362.75</v>
      </c>
      <c r="I5" s="6">
        <f>'Data Sheet'!I58</f>
        <v>3244.47</v>
      </c>
      <c r="J5" s="6">
        <f>'Data Sheet'!J58</f>
        <v>4020.73</v>
      </c>
      <c r="K5" s="6">
        <f>'Data Sheet'!K58</f>
        <v>5116.41</v>
      </c>
    </row>
    <row r="6" spans="1:11" x14ac:dyDescent="0.35">
      <c r="A6" t="s">
        <v>50</v>
      </c>
      <c r="B6" s="6">
        <f>'Data Sheet'!B59</f>
        <v>35.14</v>
      </c>
      <c r="C6" s="6">
        <f>'Data Sheet'!C59</f>
        <v>35.14</v>
      </c>
      <c r="D6" s="6">
        <f>'Data Sheet'!D59</f>
        <v>188.94</v>
      </c>
      <c r="E6" s="6">
        <f>'Data Sheet'!E59</f>
        <v>147.49</v>
      </c>
      <c r="F6" s="6">
        <f>'Data Sheet'!F59</f>
        <v>266.45999999999998</v>
      </c>
      <c r="G6" s="6">
        <f>'Data Sheet'!G59</f>
        <v>270.52</v>
      </c>
      <c r="H6" s="6">
        <f>'Data Sheet'!H59</f>
        <v>270.52</v>
      </c>
      <c r="I6" s="6">
        <f>'Data Sheet'!I59</f>
        <v>344.53</v>
      </c>
      <c r="J6" s="6">
        <f>'Data Sheet'!J59</f>
        <v>1166.8499999999999</v>
      </c>
      <c r="K6" s="6">
        <f>'Data Sheet'!K59</f>
        <v>444.16</v>
      </c>
    </row>
    <row r="7" spans="1:11" x14ac:dyDescent="0.35">
      <c r="A7" t="s">
        <v>51</v>
      </c>
      <c r="B7" s="6">
        <f>'Data Sheet'!B60</f>
        <v>3906.86</v>
      </c>
      <c r="C7" s="6">
        <f>'Data Sheet'!C60</f>
        <v>4379.2</v>
      </c>
      <c r="D7" s="6">
        <f>'Data Sheet'!D60</f>
        <v>5065.13</v>
      </c>
      <c r="E7" s="6">
        <f>'Data Sheet'!E60</f>
        <v>5732.9</v>
      </c>
      <c r="F7" s="6">
        <f>'Data Sheet'!F60</f>
        <v>6021.29</v>
      </c>
      <c r="G7" s="6">
        <f>'Data Sheet'!G60</f>
        <v>6249.05</v>
      </c>
      <c r="H7" s="6">
        <f>'Data Sheet'!H60</f>
        <v>6249.05</v>
      </c>
      <c r="I7" s="6">
        <f>'Data Sheet'!I60</f>
        <v>6837.64</v>
      </c>
      <c r="J7" s="6">
        <f>'Data Sheet'!J60</f>
        <v>7039.89</v>
      </c>
      <c r="K7" s="6">
        <f>'Data Sheet'!K60</f>
        <v>7603.77</v>
      </c>
    </row>
    <row r="8" spans="1:11" s="2" customFormat="1" x14ac:dyDescent="0.35">
      <c r="A8" s="2" t="s">
        <v>19</v>
      </c>
      <c r="B8" s="7">
        <f>'Data Sheet'!B61</f>
        <v>7362.59</v>
      </c>
      <c r="C8" s="7">
        <f>'Data Sheet'!C61</f>
        <v>8088.08</v>
      </c>
      <c r="D8" s="7">
        <f>'Data Sheet'!D61</f>
        <v>7172.94</v>
      </c>
      <c r="E8" s="7">
        <f>'Data Sheet'!E61</f>
        <v>7899.73</v>
      </c>
      <c r="F8" s="7">
        <f>'Data Sheet'!F61</f>
        <v>8234.1299999999992</v>
      </c>
      <c r="G8" s="7">
        <f>'Data Sheet'!G61</f>
        <v>8978.74</v>
      </c>
      <c r="H8" s="7">
        <f>'Data Sheet'!H61</f>
        <v>8978.74</v>
      </c>
      <c r="I8" s="7">
        <f>'Data Sheet'!I61</f>
        <v>10523.06</v>
      </c>
      <c r="J8" s="7">
        <f>'Data Sheet'!J61</f>
        <v>12323.89</v>
      </c>
      <c r="K8" s="7">
        <f>'Data Sheet'!K61</f>
        <v>13357.17</v>
      </c>
    </row>
    <row r="9" spans="1:11" s="2" customFormat="1" x14ac:dyDescent="0.35"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35">
      <c r="A10" t="s">
        <v>20</v>
      </c>
      <c r="B10" s="6">
        <f>'Data Sheet'!B62</f>
        <v>2616.1799999999998</v>
      </c>
      <c r="C10" s="6">
        <f>'Data Sheet'!C62</f>
        <v>2400.62</v>
      </c>
      <c r="D10" s="6">
        <f>'Data Sheet'!D62</f>
        <v>2341.4499999999998</v>
      </c>
      <c r="E10" s="6">
        <f>'Data Sheet'!E62</f>
        <v>2179.41</v>
      </c>
      <c r="F10" s="6">
        <f>'Data Sheet'!F62</f>
        <v>2994.67</v>
      </c>
      <c r="G10" s="6">
        <f>'Data Sheet'!G62</f>
        <v>3043.7</v>
      </c>
      <c r="H10" s="6">
        <f>'Data Sheet'!H62</f>
        <v>3043.7</v>
      </c>
      <c r="I10" s="6">
        <f>'Data Sheet'!I62</f>
        <v>3460.25</v>
      </c>
      <c r="J10" s="6">
        <f>'Data Sheet'!J62</f>
        <v>5473.61</v>
      </c>
      <c r="K10" s="6">
        <f>'Data Sheet'!K62</f>
        <v>6290.42</v>
      </c>
    </row>
    <row r="11" spans="1:11" x14ac:dyDescent="0.35">
      <c r="A11" t="s">
        <v>21</v>
      </c>
      <c r="B11" s="6">
        <f>'Data Sheet'!B63</f>
        <v>94.16</v>
      </c>
      <c r="C11" s="6">
        <f>'Data Sheet'!C63</f>
        <v>105.2</v>
      </c>
      <c r="D11" s="6">
        <f>'Data Sheet'!D63</f>
        <v>143.30000000000001</v>
      </c>
      <c r="E11" s="6">
        <f>'Data Sheet'!E63</f>
        <v>638.58000000000004</v>
      </c>
      <c r="F11" s="6">
        <f>'Data Sheet'!F63</f>
        <v>246.23</v>
      </c>
      <c r="G11" s="6">
        <f>'Data Sheet'!G63</f>
        <v>358.36</v>
      </c>
      <c r="H11" s="6">
        <f>'Data Sheet'!H63</f>
        <v>358.36</v>
      </c>
      <c r="I11" s="6">
        <f>'Data Sheet'!I63</f>
        <v>1741.71</v>
      </c>
      <c r="J11" s="6">
        <f>'Data Sheet'!J63</f>
        <v>1172.56</v>
      </c>
      <c r="K11" s="6">
        <f>'Data Sheet'!K63</f>
        <v>506.98</v>
      </c>
    </row>
    <row r="12" spans="1:11" x14ac:dyDescent="0.35">
      <c r="A12" t="s">
        <v>22</v>
      </c>
      <c r="B12" s="6">
        <f>'Data Sheet'!B64</f>
        <v>1978.87</v>
      </c>
      <c r="C12" s="6">
        <f>'Data Sheet'!C64</f>
        <v>2658.49</v>
      </c>
      <c r="D12" s="6">
        <f>'Data Sheet'!D64</f>
        <v>1751.05</v>
      </c>
      <c r="E12" s="6">
        <f>'Data Sheet'!E64</f>
        <v>1463.77</v>
      </c>
      <c r="F12" s="6">
        <f>'Data Sheet'!F64</f>
        <v>773.98</v>
      </c>
      <c r="G12" s="6">
        <f>'Data Sheet'!G64</f>
        <v>777.54</v>
      </c>
      <c r="H12" s="6">
        <f>'Data Sheet'!H64</f>
        <v>777.54</v>
      </c>
      <c r="I12" s="6">
        <f>'Data Sheet'!I64</f>
        <v>463.87</v>
      </c>
      <c r="J12" s="6">
        <f>'Data Sheet'!J64</f>
        <v>705.6</v>
      </c>
      <c r="K12" s="6">
        <f>'Data Sheet'!K64</f>
        <v>705.6</v>
      </c>
    </row>
    <row r="13" spans="1:11" x14ac:dyDescent="0.35">
      <c r="A13" t="s">
        <v>52</v>
      </c>
      <c r="B13" s="6">
        <f>'Data Sheet'!B65</f>
        <v>2673.38</v>
      </c>
      <c r="C13" s="6">
        <f>'Data Sheet'!C65</f>
        <v>2923.77</v>
      </c>
      <c r="D13" s="6">
        <f>'Data Sheet'!D65</f>
        <v>2937.14</v>
      </c>
      <c r="E13" s="6">
        <f>'Data Sheet'!E65</f>
        <v>3617.97</v>
      </c>
      <c r="F13" s="6">
        <f>'Data Sheet'!F65</f>
        <v>4219.25</v>
      </c>
      <c r="G13" s="6">
        <f>'Data Sheet'!G65</f>
        <v>4799.1400000000003</v>
      </c>
      <c r="H13" s="6">
        <f>'Data Sheet'!H65</f>
        <v>4799.1400000000003</v>
      </c>
      <c r="I13" s="6">
        <f>'Data Sheet'!I65</f>
        <v>4857.2299999999996</v>
      </c>
      <c r="J13" s="6">
        <f>'Data Sheet'!J65</f>
        <v>4972.12</v>
      </c>
      <c r="K13" s="6">
        <f>'Data Sheet'!K65</f>
        <v>5854.17</v>
      </c>
    </row>
    <row r="14" spans="1:11" s="2" customFormat="1" x14ac:dyDescent="0.35">
      <c r="A14" s="2" t="s">
        <v>19</v>
      </c>
      <c r="B14" s="6">
        <f>'Data Sheet'!B66</f>
        <v>7362.59</v>
      </c>
      <c r="C14" s="6">
        <f>'Data Sheet'!C66</f>
        <v>8088.08</v>
      </c>
      <c r="D14" s="6">
        <f>'Data Sheet'!D66</f>
        <v>7172.94</v>
      </c>
      <c r="E14" s="6">
        <f>'Data Sheet'!E66</f>
        <v>7899.73</v>
      </c>
      <c r="F14" s="6">
        <f>'Data Sheet'!F66</f>
        <v>8234.1299999999992</v>
      </c>
      <c r="G14" s="6">
        <f>'Data Sheet'!G66</f>
        <v>8978.74</v>
      </c>
      <c r="H14" s="6">
        <f>'Data Sheet'!H66</f>
        <v>8978.74</v>
      </c>
      <c r="I14" s="6">
        <f>'Data Sheet'!I66</f>
        <v>10523.06</v>
      </c>
      <c r="J14" s="6">
        <f>'Data Sheet'!J66</f>
        <v>12323.89</v>
      </c>
      <c r="K14" s="6">
        <f>'Data Sheet'!K66</f>
        <v>13357.17</v>
      </c>
    </row>
    <row r="15" spans="1:1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5">
      <c r="A16" t="s">
        <v>23</v>
      </c>
      <c r="B16" s="3">
        <f>B13-B7</f>
        <v>-1233.48</v>
      </c>
      <c r="C16" s="3">
        <f t="shared" ref="C16:K16" si="0">C13-C7</f>
        <v>-1455.4299999999998</v>
      </c>
      <c r="D16" s="3">
        <f t="shared" si="0"/>
        <v>-2127.9900000000002</v>
      </c>
      <c r="E16" s="3">
        <f t="shared" si="0"/>
        <v>-2114.9299999999998</v>
      </c>
      <c r="F16" s="3">
        <f t="shared" si="0"/>
        <v>-1802.04</v>
      </c>
      <c r="G16" s="3">
        <f t="shared" si="0"/>
        <v>-1449.9099999999999</v>
      </c>
      <c r="H16" s="3">
        <f t="shared" si="0"/>
        <v>-1449.9099999999999</v>
      </c>
      <c r="I16" s="3">
        <f t="shared" si="0"/>
        <v>-1980.4100000000008</v>
      </c>
      <c r="J16" s="3">
        <f t="shared" si="0"/>
        <v>-2067.7700000000004</v>
      </c>
      <c r="K16" s="3">
        <f t="shared" si="0"/>
        <v>-1749.6000000000004</v>
      </c>
    </row>
    <row r="17" spans="1:11" x14ac:dyDescent="0.35">
      <c r="A17" t="s">
        <v>37</v>
      </c>
      <c r="B17" s="3">
        <f>'Data Sheet'!B67</f>
        <v>88.97</v>
      </c>
      <c r="C17" s="3">
        <f>'Data Sheet'!C67</f>
        <v>124.59</v>
      </c>
      <c r="D17" s="3">
        <f>'Data Sheet'!D67</f>
        <v>124.33</v>
      </c>
      <c r="E17" s="3">
        <f>'Data Sheet'!E67</f>
        <v>164.93</v>
      </c>
      <c r="F17" s="3">
        <f>'Data Sheet'!F67</f>
        <v>165.97</v>
      </c>
      <c r="G17" s="3">
        <f>'Data Sheet'!G67</f>
        <v>191.89</v>
      </c>
      <c r="H17" s="3">
        <f>'Data Sheet'!H67</f>
        <v>191.89</v>
      </c>
      <c r="I17" s="3">
        <f>'Data Sheet'!I67</f>
        <v>300.45999999999998</v>
      </c>
      <c r="J17" s="3">
        <f>'Data Sheet'!J67</f>
        <v>363.15</v>
      </c>
      <c r="K17" s="3">
        <f>'Data Sheet'!K67</f>
        <v>329.47</v>
      </c>
    </row>
    <row r="18" spans="1:11" x14ac:dyDescent="0.35">
      <c r="A18" t="s">
        <v>38</v>
      </c>
      <c r="B18" s="3">
        <f>'Data Sheet'!B68</f>
        <v>902.47</v>
      </c>
      <c r="C18" s="3">
        <f>'Data Sheet'!C68</f>
        <v>965.55</v>
      </c>
      <c r="D18" s="3">
        <f>'Data Sheet'!D68</f>
        <v>1283.07</v>
      </c>
      <c r="E18" s="3">
        <f>'Data Sheet'!E68</f>
        <v>1416.48</v>
      </c>
      <c r="F18" s="3">
        <f>'Data Sheet'!F68</f>
        <v>1592.65</v>
      </c>
      <c r="G18" s="3">
        <f>'Data Sheet'!G68</f>
        <v>1928.77</v>
      </c>
      <c r="H18" s="3">
        <f>'Data Sheet'!H68</f>
        <v>1928.77</v>
      </c>
      <c r="I18" s="3">
        <f>'Data Sheet'!I68</f>
        <v>2089.36</v>
      </c>
      <c r="J18" s="3">
        <f>'Data Sheet'!J68</f>
        <v>2850.14</v>
      </c>
      <c r="K18" s="3">
        <f>'Data Sheet'!K68</f>
        <v>2569.2199999999998</v>
      </c>
    </row>
    <row r="20" spans="1:11" x14ac:dyDescent="0.35">
      <c r="A20" t="s">
        <v>39</v>
      </c>
      <c r="B20" s="3">
        <f>IF('Profit &amp; Loss'!B4&gt;0,'Balance Sheet'!B17/('Profit &amp; Loss'!B4/365),0)</f>
        <v>3.244290481138107</v>
      </c>
      <c r="C20" s="3">
        <f>IF('Profit &amp; Loss'!C4&gt;0,'Balance Sheet'!C17/('Profit &amp; Loss'!C4/365),0)</f>
        <v>4.0271220932549436</v>
      </c>
      <c r="D20" s="3">
        <f>IF('Profit &amp; Loss'!D4&gt;0,'Balance Sheet'!D17/('Profit &amp; Loss'!D4/365),0)</f>
        <v>3.6689155866730268</v>
      </c>
      <c r="E20" s="3">
        <f>IF('Profit &amp; Loss'!E4&gt;0,'Balance Sheet'!E17/('Profit &amp; Loss'!E4/365),0)</f>
        <v>4.5093119640929649</v>
      </c>
      <c r="F20" s="3">
        <f>IF('Profit &amp; Loss'!F4&gt;0,'Balance Sheet'!F17/('Profit &amp; Loss'!F4/365),0)</f>
        <v>4.1096760713105791</v>
      </c>
      <c r="G20" s="3">
        <f>IF('Profit &amp; Loss'!G4&gt;0,'Balance Sheet'!G17/('Profit &amp; Loss'!G4/365),0)</f>
        <v>4.1451154527204892</v>
      </c>
      <c r="H20" s="3">
        <f>IF('Profit &amp; Loss'!H4&gt;0,'Balance Sheet'!H17/('Profit &amp; Loss'!H4/365),0)</f>
        <v>3.6619654611712669</v>
      </c>
      <c r="I20" s="3">
        <f>IF('Profit &amp; Loss'!I4&gt;0,'Balance Sheet'!I17/('Profit &amp; Loss'!I4/365),0)</f>
        <v>4.4957118360376311</v>
      </c>
      <c r="J20" s="3">
        <f>IF('Profit &amp; Loss'!J4&gt;0,'Balance Sheet'!J17/('Profit &amp; Loss'!J4/365),0)</f>
        <v>6.5613620928284737</v>
      </c>
      <c r="K20" s="3">
        <f>IF('Profit &amp; Loss'!K4&gt;0,'Balance Sheet'!K17/('Profit &amp; Loss'!K4/365),0)</f>
        <v>5.1936353899441157</v>
      </c>
    </row>
    <row r="21" spans="1:11" x14ac:dyDescent="0.35">
      <c r="A21" t="s">
        <v>40</v>
      </c>
      <c r="B21" s="3">
        <f>IF('Balance Sheet'!B18&gt;0,'Profit &amp; Loss'!B4/'Balance Sheet'!B18,0)</f>
        <v>11.091338216228795</v>
      </c>
      <c r="C21" s="3">
        <f>IF('Balance Sheet'!C18&gt;0,'Profit &amp; Loss'!C4/'Balance Sheet'!C18,0)</f>
        <v>11.695168556781111</v>
      </c>
      <c r="D21" s="3">
        <f>IF('Balance Sheet'!D18&gt;0,'Profit &amp; Loss'!D4/'Balance Sheet'!D18,0)</f>
        <v>9.6400819908500708</v>
      </c>
      <c r="E21" s="3">
        <f>IF('Balance Sheet'!E18&gt;0,'Profit &amp; Loss'!E4/'Balance Sheet'!E18,0)</f>
        <v>9.4247924432395802</v>
      </c>
      <c r="F21" s="3">
        <f>IF('Balance Sheet'!F18&gt;0,'Profit &amp; Loss'!F4/'Balance Sheet'!F18,0)</f>
        <v>9.2553856779581203</v>
      </c>
      <c r="G21" s="3">
        <f>IF('Balance Sheet'!G18&gt;0,'Profit &amp; Loss'!G4/'Balance Sheet'!G18,0)</f>
        <v>8.760484661208956</v>
      </c>
      <c r="H21" s="3">
        <f>IF('Balance Sheet'!H18&gt;0,'Profit &amp; Loss'!H4/'Balance Sheet'!H18,0)</f>
        <v>9.9163197270799515</v>
      </c>
      <c r="I21" s="3">
        <f>IF('Balance Sheet'!I18&gt;0,'Profit &amp; Loss'!I4/'Balance Sheet'!I18,0)</f>
        <v>11.67529291266225</v>
      </c>
      <c r="J21" s="3">
        <f>IF('Balance Sheet'!J18&gt;0,'Profit &amp; Loss'!J4/'Balance Sheet'!J18,0)</f>
        <v>7.0879184882146147</v>
      </c>
      <c r="K21" s="3">
        <f>IF('Balance Sheet'!K18&gt;0,'Profit &amp; Loss'!K4/'Balance Sheet'!K18,0)</f>
        <v>9.0123072372159641</v>
      </c>
    </row>
    <row r="23" spans="1:11" s="2" customFormat="1" x14ac:dyDescent="0.35">
      <c r="A23" s="2" t="s">
        <v>43</v>
      </c>
      <c r="B23" s="5">
        <f>IF(SUM('Balance Sheet'!B4:B5)&gt;0,'Profit &amp; Loss'!B12/SUM('Balance Sheet'!B4:B5),"")</f>
        <v>0.35818089861690527</v>
      </c>
      <c r="C23" s="5">
        <f>IF(SUM('Balance Sheet'!C4:C5)&gt;0,'Profit &amp; Loss'!C12/SUM('Balance Sheet'!C4:C5),"")</f>
        <v>0.43740983303118891</v>
      </c>
      <c r="D23" s="5">
        <f>IF(SUM('Balance Sheet'!D4:D5)&gt;0,'Profit &amp; Loss'!D12/SUM('Balance Sheet'!D4:D5),"")</f>
        <v>1.0258329120784628</v>
      </c>
      <c r="E23" s="5">
        <f>IF(SUM('Balance Sheet'!E4:E5)&gt;0,'Profit &amp; Loss'!E12/SUM('Balance Sheet'!E4:E5),"")</f>
        <v>1.0312428813374666</v>
      </c>
      <c r="F23" s="5">
        <f>IF(SUM('Balance Sheet'!F4:F5)&gt;0,'Profit &amp; Loss'!F12/SUM('Balance Sheet'!F4:F5),"")</f>
        <v>1.0883845908815337</v>
      </c>
      <c r="G23" s="5">
        <f>IF(SUM('Balance Sheet'!G4:G5)&gt;0,'Profit &amp; Loss'!G12/SUM('Balance Sheet'!G4:G5),"")</f>
        <v>0.97208407714798084</v>
      </c>
      <c r="H23" s="5">
        <f>IF(SUM('Balance Sheet'!H4:H5)&gt;0,'Profit &amp; Loss'!H12/SUM('Balance Sheet'!H4:H5),"")</f>
        <v>1.2193829625442731</v>
      </c>
      <c r="I23" s="5">
        <f>IF(SUM('Balance Sheet'!I4:I5)&gt;0,'Profit &amp; Loss'!I12/SUM('Balance Sheet'!I4:I5),"")</f>
        <v>1.1771833254013153</v>
      </c>
      <c r="J23" s="5">
        <f>IF(SUM('Balance Sheet'!J4:J5)&gt;0,'Profit &amp; Loss'!J12/SUM('Balance Sheet'!J4:J5),"")</f>
        <v>0.80504718069538406</v>
      </c>
      <c r="K23" s="5">
        <f>IF(SUM('Balance Sheet'!K4:K5)&gt;0,'Profit &amp; Loss'!K12/SUM('Balance Sheet'!K4:K5),"")</f>
        <v>0.66762851180206584</v>
      </c>
    </row>
    <row r="24" spans="1:11" s="2" customFormat="1" x14ac:dyDescent="0.35">
      <c r="A24" s="2" t="s">
        <v>44</v>
      </c>
      <c r="B24" s="5"/>
      <c r="C24" s="5">
        <f>IF((B4+B5+B6+C4+C5+C6)&gt;0,('Profit &amp; Loss'!C10+'Profit &amp; Loss'!C9)*2/(B4+B5+B6+C4+C5+C6),"")</f>
        <v>0.70929192237958505</v>
      </c>
      <c r="D24" s="5">
        <f>IF((C4+C5+C6+D4+D5+D6)&gt;0,('Profit &amp; Loss'!D10+'Profit &amp; Loss'!D9)*2/(C4+C5+C6+D4+D5+D6),"")</f>
        <v>0.96364427191409541</v>
      </c>
      <c r="E24" s="5">
        <f>IF((D4+D5+D6+E4+E5+E6)&gt;0,('Profit &amp; Loss'!E10+'Profit &amp; Loss'!E9)*2/(D4+D5+D6+E4+E5+E6),"")</f>
        <v>1.392851795706773</v>
      </c>
      <c r="F24" s="5">
        <f>IF((E4+E5+E6+F4+F5+F6)&gt;0,('Profit &amp; Loss'!F10+'Profit &amp; Loss'!F9)*2/(E4+E5+E6+F4+F5+F6),"")</f>
        <v>1.39690889952896</v>
      </c>
      <c r="G24" s="5">
        <f>IF((F4+F5+F6+G4+G5+G6)&gt;0,('Profit &amp; Loss'!G10+'Profit &amp; Loss'!G9)*2/(F4+F5+F6+G4+G5+G6),"")</f>
        <v>1.3800786237008169</v>
      </c>
      <c r="H24" s="5">
        <f>IF((G4+G5+G6+H4+H5+H6)&gt;0,('Profit &amp; Loss'!H10+'Profit &amp; Loss'!H9)*2/(G4+G5+G6+H4+H5+H6),"")</f>
        <v>1.5230960292194349</v>
      </c>
      <c r="I24" s="5">
        <f>IF((H4+H5+H6+I4+I5+I6)&gt;0,('Profit &amp; Loss'!I10+'Profit &amp; Loss'!I9)*2/(H4+H5+H6+I4+I5+I6),"")</f>
        <v>1.6942375111260757</v>
      </c>
      <c r="J24" s="5">
        <f>IF((I4+I5+I6+J4+J5+J6)&gt;0,('Profit &amp; Loss'!J10+'Profit &amp; Loss'!J9)*2/(I4+I5+I6+J4+J5+J6),"")</f>
        <v>1.0220214907987362</v>
      </c>
      <c r="K24" s="5">
        <f>IF((J4+J5+J6+K4+K5+K6)&gt;0,('Profit &amp; Loss'!K10+'Profit &amp; Loss'!K9)*2/(J4+J5+J6+K4+K5+K6),"")</f>
        <v>0.86396433942776385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F69F-2780-4BA3-A255-209ED7F1134D}">
  <dimension ref="B1:K31"/>
  <sheetViews>
    <sheetView topLeftCell="B1" workbookViewId="0">
      <selection activeCell="M8" sqref="M8"/>
    </sheetView>
  </sheetViews>
  <sheetFormatPr defaultRowHeight="14.5" x14ac:dyDescent="0.35"/>
  <sheetData>
    <row r="1" spans="2:11" ht="15" thickBot="1" x14ac:dyDescent="0.4">
      <c r="C1" s="67">
        <v>43435</v>
      </c>
      <c r="D1" s="67">
        <v>43800</v>
      </c>
      <c r="E1" s="67">
        <v>44166</v>
      </c>
      <c r="F1" s="67">
        <v>44531</v>
      </c>
      <c r="G1" s="67">
        <v>44896</v>
      </c>
      <c r="H1" s="67">
        <v>45261</v>
      </c>
      <c r="I1" s="67">
        <v>45352</v>
      </c>
      <c r="J1" s="67">
        <v>45717</v>
      </c>
      <c r="K1" s="67">
        <v>46082</v>
      </c>
    </row>
    <row r="2" spans="2:11" ht="15" thickBot="1" x14ac:dyDescent="0.4">
      <c r="B2" s="68" t="s">
        <v>230</v>
      </c>
      <c r="C2" s="69">
        <v>2052</v>
      </c>
      <c r="D2" s="69">
        <v>2295</v>
      </c>
      <c r="E2" s="69">
        <v>2454</v>
      </c>
      <c r="F2" s="69">
        <v>2236</v>
      </c>
      <c r="G2" s="69">
        <v>2737</v>
      </c>
      <c r="H2" s="69">
        <v>3392</v>
      </c>
      <c r="I2" s="69">
        <v>4175</v>
      </c>
      <c r="J2" s="69">
        <v>2935</v>
      </c>
      <c r="K2" s="69">
        <v>5048</v>
      </c>
    </row>
    <row r="3" spans="2:11" x14ac:dyDescent="0.35">
      <c r="B3" s="70" t="s">
        <v>98</v>
      </c>
      <c r="C3" s="69">
        <v>2521</v>
      </c>
      <c r="D3" s="69">
        <v>2805</v>
      </c>
      <c r="E3" s="69">
        <v>3061</v>
      </c>
      <c r="F3" s="69">
        <v>3136</v>
      </c>
      <c r="G3" s="69">
        <v>3609</v>
      </c>
      <c r="H3" s="69">
        <v>4388</v>
      </c>
      <c r="I3" s="69">
        <v>5722</v>
      </c>
      <c r="J3" s="69">
        <v>4672</v>
      </c>
      <c r="K3" s="69">
        <v>5326</v>
      </c>
    </row>
    <row r="4" spans="2:11" x14ac:dyDescent="0.35">
      <c r="B4" s="71" t="s">
        <v>57</v>
      </c>
      <c r="C4" s="72">
        <v>-36</v>
      </c>
      <c r="D4" s="72">
        <v>0</v>
      </c>
      <c r="E4" s="72">
        <v>-42</v>
      </c>
      <c r="F4" s="72">
        <v>-2</v>
      </c>
      <c r="G4" s="72">
        <v>-28</v>
      </c>
      <c r="H4" s="72">
        <v>-11</v>
      </c>
      <c r="I4" s="72">
        <v>-109</v>
      </c>
      <c r="J4" s="72">
        <v>-70</v>
      </c>
      <c r="K4" s="72">
        <v>34</v>
      </c>
    </row>
    <row r="5" spans="2:11" x14ac:dyDescent="0.35">
      <c r="B5" s="71" t="s">
        <v>38</v>
      </c>
      <c r="C5" s="72">
        <v>-63</v>
      </c>
      <c r="D5" s="72">
        <v>-318</v>
      </c>
      <c r="E5" s="72">
        <v>-133</v>
      </c>
      <c r="F5" s="72">
        <v>-169</v>
      </c>
      <c r="G5" s="72">
        <v>-336</v>
      </c>
      <c r="H5" s="72">
        <v>56</v>
      </c>
      <c r="I5" s="72">
        <v>-161</v>
      </c>
      <c r="J5" s="72">
        <v>-767</v>
      </c>
      <c r="K5" s="72">
        <v>281</v>
      </c>
    </row>
    <row r="6" spans="2:11" x14ac:dyDescent="0.35">
      <c r="B6" s="71" t="s">
        <v>99</v>
      </c>
      <c r="C6" s="72">
        <v>257</v>
      </c>
      <c r="D6" s="72">
        <v>253</v>
      </c>
      <c r="E6" s="72">
        <v>23</v>
      </c>
      <c r="F6" s="72">
        <v>217</v>
      </c>
      <c r="G6" s="72">
        <v>178</v>
      </c>
      <c r="H6" s="72">
        <v>68</v>
      </c>
      <c r="I6" s="72">
        <v>310</v>
      </c>
      <c r="J6" s="72">
        <v>134</v>
      </c>
      <c r="K6" s="72">
        <v>588</v>
      </c>
    </row>
    <row r="7" spans="2:11" x14ac:dyDescent="0.35">
      <c r="B7" s="71" t="s">
        <v>100</v>
      </c>
      <c r="C7" s="72">
        <v>0</v>
      </c>
      <c r="D7" s="72">
        <v>0</v>
      </c>
      <c r="E7" s="72">
        <v>0</v>
      </c>
      <c r="F7" s="72">
        <v>-40</v>
      </c>
      <c r="G7" s="72">
        <v>-30</v>
      </c>
      <c r="H7" s="72">
        <v>-30</v>
      </c>
      <c r="I7" s="72">
        <v>-21</v>
      </c>
      <c r="J7" s="72">
        <v>-199</v>
      </c>
      <c r="K7" s="72">
        <v>-73</v>
      </c>
    </row>
    <row r="8" spans="2:11" x14ac:dyDescent="0.35">
      <c r="B8" s="71" t="s">
        <v>231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</row>
    <row r="9" spans="2:11" ht="15" thickBot="1" x14ac:dyDescent="0.4">
      <c r="B9" s="71" t="s">
        <v>101</v>
      </c>
      <c r="C9" s="72">
        <v>255</v>
      </c>
      <c r="D9" s="72">
        <v>227</v>
      </c>
      <c r="E9" s="72">
        <v>249</v>
      </c>
      <c r="F9" s="72">
        <v>-179</v>
      </c>
      <c r="G9" s="72">
        <v>185</v>
      </c>
      <c r="H9" s="72">
        <v>-19</v>
      </c>
      <c r="I9" s="72">
        <v>-268</v>
      </c>
      <c r="J9" s="72">
        <v>155</v>
      </c>
      <c r="K9" s="72">
        <v>-37</v>
      </c>
    </row>
    <row r="10" spans="2:11" x14ac:dyDescent="0.35">
      <c r="B10" s="70" t="s">
        <v>102</v>
      </c>
      <c r="C10" s="73">
        <v>413</v>
      </c>
      <c r="D10" s="73">
        <v>163</v>
      </c>
      <c r="E10" s="73">
        <v>97</v>
      </c>
      <c r="F10" s="73">
        <v>-172</v>
      </c>
      <c r="G10" s="73">
        <v>-30</v>
      </c>
      <c r="H10" s="73">
        <v>63</v>
      </c>
      <c r="I10" s="73">
        <v>-249</v>
      </c>
      <c r="J10" s="73">
        <v>-747</v>
      </c>
      <c r="K10" s="73">
        <v>793</v>
      </c>
    </row>
    <row r="11" spans="2:11" ht="15" thickBot="1" x14ac:dyDescent="0.4">
      <c r="B11" s="71" t="s">
        <v>103</v>
      </c>
      <c r="C11" s="72">
        <v>-881</v>
      </c>
      <c r="D11" s="72">
        <v>-673</v>
      </c>
      <c r="E11" s="72">
        <v>-703</v>
      </c>
      <c r="F11" s="72">
        <v>-729</v>
      </c>
      <c r="G11" s="72">
        <v>-841</v>
      </c>
      <c r="H11" s="78">
        <v>-1059</v>
      </c>
      <c r="I11" s="78">
        <v>-1299</v>
      </c>
      <c r="J11" s="72">
        <v>-990</v>
      </c>
      <c r="K11" s="78">
        <v>-1071</v>
      </c>
    </row>
    <row r="12" spans="2:11" x14ac:dyDescent="0.35">
      <c r="B12" s="74" t="s">
        <v>232</v>
      </c>
      <c r="C12" s="75">
        <v>-52</v>
      </c>
      <c r="D12" s="75">
        <v>83</v>
      </c>
      <c r="E12" s="75">
        <v>-321</v>
      </c>
      <c r="F12" s="79">
        <v>-1920</v>
      </c>
      <c r="G12" s="75">
        <v>-392</v>
      </c>
      <c r="H12" s="75">
        <v>-927</v>
      </c>
      <c r="I12" s="79">
        <v>-1237</v>
      </c>
      <c r="J12" s="79">
        <v>-1811</v>
      </c>
      <c r="K12" s="75">
        <v>-624</v>
      </c>
    </row>
    <row r="13" spans="2:11" x14ac:dyDescent="0.35">
      <c r="B13" s="76" t="s">
        <v>105</v>
      </c>
      <c r="C13" s="77">
        <v>-166</v>
      </c>
      <c r="D13" s="77">
        <v>-155</v>
      </c>
      <c r="E13" s="77">
        <v>-478</v>
      </c>
      <c r="F13" s="77">
        <v>-735</v>
      </c>
      <c r="G13" s="77">
        <v>-550</v>
      </c>
      <c r="H13" s="85">
        <v>-1371</v>
      </c>
      <c r="I13" s="85">
        <v>-1883</v>
      </c>
      <c r="J13" s="85">
        <v>-2009</v>
      </c>
      <c r="K13" s="77">
        <v>-830</v>
      </c>
    </row>
    <row r="14" spans="2:11" x14ac:dyDescent="0.35">
      <c r="B14" s="76" t="s">
        <v>106</v>
      </c>
      <c r="C14" s="77">
        <v>3</v>
      </c>
      <c r="D14" s="77">
        <v>2</v>
      </c>
      <c r="E14" s="77">
        <v>4</v>
      </c>
      <c r="F14" s="77">
        <v>4</v>
      </c>
      <c r="G14" s="77">
        <v>9</v>
      </c>
      <c r="H14" s="77">
        <v>7</v>
      </c>
      <c r="I14" s="77">
        <v>4</v>
      </c>
      <c r="J14" s="77">
        <v>4</v>
      </c>
      <c r="K14" s="77">
        <v>3</v>
      </c>
    </row>
    <row r="15" spans="2:11" x14ac:dyDescent="0.35">
      <c r="B15" s="76" t="s">
        <v>107</v>
      </c>
      <c r="C15" s="77">
        <v>-160</v>
      </c>
      <c r="D15" s="77">
        <v>-16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</row>
    <row r="16" spans="2:11" x14ac:dyDescent="0.35">
      <c r="B16" s="76" t="s">
        <v>108</v>
      </c>
      <c r="C16" s="77">
        <v>0</v>
      </c>
      <c r="D16" s="77">
        <v>0</v>
      </c>
      <c r="E16" s="77">
        <v>0</v>
      </c>
      <c r="F16" s="77">
        <v>0</v>
      </c>
      <c r="G16" s="77">
        <v>25</v>
      </c>
      <c r="H16" s="77">
        <v>312</v>
      </c>
      <c r="I16" s="77">
        <v>284</v>
      </c>
      <c r="J16" s="77">
        <v>424</v>
      </c>
      <c r="K16" s="77">
        <v>0</v>
      </c>
    </row>
    <row r="17" spans="2:11" x14ac:dyDescent="0.35">
      <c r="B17" s="76" t="s">
        <v>109</v>
      </c>
      <c r="C17" s="77">
        <v>237</v>
      </c>
      <c r="D17" s="77">
        <v>238</v>
      </c>
      <c r="E17" s="77">
        <v>148</v>
      </c>
      <c r="F17" s="77">
        <v>125</v>
      </c>
      <c r="G17" s="77">
        <v>103</v>
      </c>
      <c r="H17" s="77">
        <v>0</v>
      </c>
      <c r="I17" s="77">
        <v>167</v>
      </c>
      <c r="J17" s="77">
        <v>76</v>
      </c>
      <c r="K17" s="77">
        <v>34</v>
      </c>
    </row>
    <row r="18" spans="2:11" x14ac:dyDescent="0.35">
      <c r="B18" s="76" t="s">
        <v>110</v>
      </c>
      <c r="C18" s="77">
        <v>19</v>
      </c>
      <c r="D18" s="77">
        <v>13</v>
      </c>
      <c r="E18" s="77">
        <v>2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</row>
    <row r="19" spans="2:11" x14ac:dyDescent="0.35">
      <c r="B19" s="76" t="s">
        <v>111</v>
      </c>
      <c r="C19" s="77">
        <v>0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-706</v>
      </c>
      <c r="K19" s="77">
        <v>0</v>
      </c>
    </row>
    <row r="20" spans="2:11" ht="15" thickBot="1" x14ac:dyDescent="0.4">
      <c r="B20" s="76" t="s">
        <v>113</v>
      </c>
      <c r="C20" s="77">
        <v>15</v>
      </c>
      <c r="D20" s="77">
        <v>0</v>
      </c>
      <c r="E20" s="77">
        <v>3</v>
      </c>
      <c r="F20" s="85">
        <v>-1314</v>
      </c>
      <c r="G20" s="77">
        <v>20</v>
      </c>
      <c r="H20" s="77">
        <v>126</v>
      </c>
      <c r="I20" s="77">
        <v>190</v>
      </c>
      <c r="J20" s="77">
        <v>400</v>
      </c>
      <c r="K20" s="77">
        <v>168</v>
      </c>
    </row>
    <row r="21" spans="2:11" x14ac:dyDescent="0.35">
      <c r="B21" s="68" t="s">
        <v>233</v>
      </c>
      <c r="C21" s="69">
        <v>-1317</v>
      </c>
      <c r="D21" s="69">
        <v>-3602</v>
      </c>
      <c r="E21" s="69">
        <v>-1956</v>
      </c>
      <c r="F21" s="69">
        <v>-2020</v>
      </c>
      <c r="G21" s="69">
        <v>-2123</v>
      </c>
      <c r="H21" s="69">
        <v>-2436</v>
      </c>
      <c r="I21" s="69">
        <v>-3135</v>
      </c>
      <c r="J21" s="69">
        <v>-1846</v>
      </c>
      <c r="K21" s="69">
        <v>-3179</v>
      </c>
    </row>
    <row r="22" spans="2:11" x14ac:dyDescent="0.35">
      <c r="B22" s="71" t="s">
        <v>116</v>
      </c>
      <c r="C22" s="72">
        <v>0</v>
      </c>
      <c r="D22" s="72">
        <v>0</v>
      </c>
      <c r="E22" s="72">
        <v>0</v>
      </c>
      <c r="F22" s="72">
        <v>24</v>
      </c>
      <c r="G22" s="72">
        <v>0</v>
      </c>
      <c r="H22" s="72">
        <v>0</v>
      </c>
      <c r="I22" s="72">
        <v>0</v>
      </c>
      <c r="J22" s="72">
        <v>726</v>
      </c>
      <c r="K22" s="72">
        <v>0</v>
      </c>
    </row>
    <row r="23" spans="2:11" x14ac:dyDescent="0.35">
      <c r="B23" s="71" t="s">
        <v>117</v>
      </c>
      <c r="C23" s="72">
        <v>0</v>
      </c>
      <c r="D23" s="72">
        <v>0</v>
      </c>
      <c r="E23" s="72">
        <v>0</v>
      </c>
      <c r="F23" s="72">
        <v>-24</v>
      </c>
      <c r="G23" s="72">
        <v>0</v>
      </c>
      <c r="H23" s="72">
        <v>0</v>
      </c>
      <c r="I23" s="72">
        <v>0</v>
      </c>
      <c r="J23" s="72">
        <v>0</v>
      </c>
      <c r="K23" s="72">
        <v>-726</v>
      </c>
    </row>
    <row r="24" spans="2:11" x14ac:dyDescent="0.35">
      <c r="B24" s="71" t="s">
        <v>234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</row>
    <row r="25" spans="2:11" x14ac:dyDescent="0.35">
      <c r="B25" s="71" t="s">
        <v>118</v>
      </c>
      <c r="C25" s="72">
        <v>-4</v>
      </c>
      <c r="D25" s="72">
        <v>-63</v>
      </c>
      <c r="E25" s="72">
        <v>-69</v>
      </c>
      <c r="F25" s="72">
        <v>-9</v>
      </c>
      <c r="G25" s="72">
        <v>-18</v>
      </c>
      <c r="H25" s="72">
        <v>-20</v>
      </c>
      <c r="I25" s="72">
        <v>-26</v>
      </c>
      <c r="J25" s="72">
        <v>-34</v>
      </c>
      <c r="K25" s="72">
        <v>-50</v>
      </c>
    </row>
    <row r="26" spans="2:11" x14ac:dyDescent="0.35">
      <c r="B26" s="71" t="s">
        <v>119</v>
      </c>
      <c r="C26" s="78">
        <v>-1090</v>
      </c>
      <c r="D26" s="78">
        <v>-2950</v>
      </c>
      <c r="E26" s="78">
        <v>-1890</v>
      </c>
      <c r="F26" s="78">
        <v>-1928</v>
      </c>
      <c r="G26" s="78">
        <v>-2025</v>
      </c>
      <c r="H26" s="78">
        <v>-2333</v>
      </c>
      <c r="I26" s="78">
        <v>-3008</v>
      </c>
      <c r="J26" s="78">
        <v>-2459</v>
      </c>
      <c r="K26" s="78">
        <v>-2314</v>
      </c>
    </row>
    <row r="27" spans="2:11" x14ac:dyDescent="0.35">
      <c r="B27" s="71" t="s">
        <v>120</v>
      </c>
      <c r="C27" s="72">
        <v>0</v>
      </c>
      <c r="D27" s="72">
        <v>0</v>
      </c>
      <c r="E27" s="72">
        <v>0</v>
      </c>
      <c r="F27" s="72">
        <v>-79</v>
      </c>
      <c r="G27" s="72">
        <v>-73</v>
      </c>
      <c r="H27" s="72">
        <v>-166</v>
      </c>
      <c r="I27" s="72">
        <v>-100</v>
      </c>
      <c r="J27" s="72">
        <v>-76</v>
      </c>
      <c r="K27" s="72">
        <v>-86</v>
      </c>
    </row>
    <row r="28" spans="2:11" ht="15" thickBot="1" x14ac:dyDescent="0.4">
      <c r="B28" s="71" t="s">
        <v>121</v>
      </c>
      <c r="C28" s="72">
        <v>-224</v>
      </c>
      <c r="D28" s="72">
        <v>-588</v>
      </c>
      <c r="E28" s="72">
        <v>3</v>
      </c>
      <c r="F28" s="72">
        <v>-3</v>
      </c>
      <c r="G28" s="72">
        <v>-7</v>
      </c>
      <c r="H28" s="72">
        <v>83</v>
      </c>
      <c r="I28" s="72">
        <v>-1</v>
      </c>
      <c r="J28" s="72">
        <v>-4</v>
      </c>
      <c r="K28" s="72">
        <v>-3</v>
      </c>
    </row>
    <row r="29" spans="2:11" x14ac:dyDescent="0.35">
      <c r="B29" s="74" t="s">
        <v>28</v>
      </c>
      <c r="C29" s="75">
        <v>683</v>
      </c>
      <c r="D29" s="79">
        <v>-1223</v>
      </c>
      <c r="E29" s="75">
        <v>177</v>
      </c>
      <c r="F29" s="79">
        <v>-1704</v>
      </c>
      <c r="G29" s="75">
        <v>223</v>
      </c>
      <c r="H29" s="75">
        <v>29</v>
      </c>
      <c r="I29" s="75">
        <v>-198</v>
      </c>
      <c r="J29" s="75">
        <v>-723</v>
      </c>
      <c r="K29" s="79">
        <v>1244</v>
      </c>
    </row>
    <row r="30" spans="2:11" x14ac:dyDescent="0.35">
      <c r="B30" s="80" t="s">
        <v>122</v>
      </c>
      <c r="C30" s="82">
        <v>1890</v>
      </c>
      <c r="D30" s="82">
        <v>2143</v>
      </c>
      <c r="E30" s="82">
        <v>1980</v>
      </c>
      <c r="F30" s="82">
        <v>1505</v>
      </c>
      <c r="G30" s="82">
        <v>2197</v>
      </c>
      <c r="H30" s="82">
        <v>2028</v>
      </c>
      <c r="I30" s="82">
        <v>2296</v>
      </c>
      <c r="J30" s="81">
        <v>930</v>
      </c>
      <c r="K30" s="82">
        <v>4221</v>
      </c>
    </row>
    <row r="31" spans="2:11" x14ac:dyDescent="0.35">
      <c r="B31" s="83" t="s">
        <v>123</v>
      </c>
      <c r="C31" s="84">
        <v>1.1200000000000001</v>
      </c>
      <c r="D31" s="84">
        <v>1.01</v>
      </c>
      <c r="E31" s="84">
        <v>0.99</v>
      </c>
      <c r="F31" s="84">
        <v>0.83</v>
      </c>
      <c r="G31" s="84">
        <v>0.97</v>
      </c>
      <c r="H31" s="84">
        <v>1</v>
      </c>
      <c r="I31" s="84">
        <v>0.94</v>
      </c>
      <c r="J31" s="84">
        <v>0.82</v>
      </c>
      <c r="K31" s="84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DCF</vt:lpstr>
      <vt:lpstr>WACC</vt:lpstr>
      <vt:lpstr>Working Capital</vt:lpstr>
      <vt:lpstr>Capex</vt:lpstr>
      <vt:lpstr>Historical FS</vt:lpstr>
      <vt:lpstr>Data Sheet</vt:lpstr>
      <vt:lpstr>Profit &amp; Loss</vt:lpstr>
      <vt:lpstr>Balance Sheet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Risha K</cp:lastModifiedBy>
  <cp:lastPrinted>2012-12-06T18:14:13Z</cp:lastPrinted>
  <dcterms:created xsi:type="dcterms:W3CDTF">2012-08-17T09:55:37Z</dcterms:created>
  <dcterms:modified xsi:type="dcterms:W3CDTF">2026-09-13T16:58:13Z</dcterms:modified>
</cp:coreProperties>
</file>